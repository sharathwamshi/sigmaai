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ill Lenses" sheetId="2" state="visible" r:id="rId2"/>
    <sheet xmlns:r="http://schemas.openxmlformats.org/officeDocument/2006/relationships" name="Cine Lenses" sheetId="3" state="visible" r:id="rId3"/>
    <sheet xmlns:r="http://schemas.openxmlformats.org/officeDocument/2006/relationships" name="Cameras" sheetId="4" state="visible" r:id="rId4"/>
    <sheet xmlns:r="http://schemas.openxmlformats.org/officeDocument/2006/relationships" name="Access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  <fill>
      <patternFill patternType="solid">
        <fgColor rgb="00D0E8F8"/>
      </patternFill>
    </fill>
    <fill>
      <patternFill patternType="solid">
        <fgColor rgb="00EAF7EA"/>
      </patternFill>
    </fill>
    <fill>
      <patternFill patternType="solid">
        <fgColor rgb="00D4F0D4"/>
      </patternFill>
    </fill>
    <fill>
      <patternFill patternType="solid">
        <fgColor rgb="00FFF3E0"/>
      </patternFill>
    </fill>
    <fill>
      <patternFill patternType="solid">
        <fgColor rgb="00FFE4B0"/>
      </patternFill>
    </fill>
    <fill>
      <patternFill patternType="solid">
        <fgColor rgb="00F3E8FF"/>
      </patternFill>
    </fill>
    <fill>
      <patternFill patternType="solid">
        <fgColor rgb="00E8D5FA"/>
      </patternFill>
    </fill>
    <fill>
      <patternFill patternType="solid">
        <fgColor rgb="00FFF9E6"/>
      </patternFill>
    </fill>
    <fill>
      <patternFill patternType="solid">
        <fgColor rgb="00FFF0CC"/>
      </patternFill>
    </fill>
    <fill>
      <patternFill patternType="solid">
        <fgColor rgb="00F5F5F5"/>
      </patternFill>
    </fill>
    <fill>
      <patternFill patternType="solid">
        <fgColor rgb="00EBEBEB"/>
      </patternFill>
    </fill>
    <fill>
      <patternFill patternType="solid">
        <fgColor rgb="002C3E6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22" customWidth="1" min="4" max="4"/>
  </cols>
  <sheetData>
    <row r="1" ht="36" customHeight="1">
      <c r="A1" s="1" t="inlineStr">
        <is>
          <t>SIGMA GLOBAL PRODUCT CATALOG — SUMMARY</t>
        </is>
      </c>
      <c r="B1" s="2" t="n"/>
      <c r="C1" s="2" t="n"/>
      <c r="D1" s="3" t="n"/>
    </row>
    <row r="3">
      <c r="A3" s="4" t="inlineStr">
        <is>
          <t>Category</t>
        </is>
      </c>
      <c r="B3" s="4" t="inlineStr">
        <is>
          <t>Sub-Category / Line</t>
        </is>
      </c>
      <c r="C3" s="4" t="inlineStr">
        <is>
          <t>Product Count</t>
        </is>
      </c>
      <c r="D3" s="4" t="inlineStr">
        <is>
          <t>Sheet Reference</t>
        </is>
      </c>
    </row>
    <row r="4">
      <c r="A4" s="5" t="inlineStr">
        <is>
          <t>Still Lenses</t>
        </is>
      </c>
      <c r="B4" s="5" t="inlineStr">
        <is>
          <t>Art Primes (Full-frame)</t>
        </is>
      </c>
      <c r="C4" s="5" t="n">
        <v>15</v>
      </c>
      <c r="D4" s="5" t="inlineStr">
        <is>
          <t>See 'Still Lenses' sheet</t>
        </is>
      </c>
    </row>
    <row r="5">
      <c r="A5" s="5" t="inlineStr">
        <is>
          <t>Still Lenses</t>
        </is>
      </c>
      <c r="B5" s="5" t="inlineStr">
        <is>
          <t>Art Zooms</t>
        </is>
      </c>
      <c r="C5" s="5" t="n">
        <v>10</v>
      </c>
      <c r="D5" s="5" t="inlineStr">
        <is>
          <t>See 'Still Lenses' sheet</t>
        </is>
      </c>
    </row>
    <row r="6">
      <c r="A6" s="6" t="inlineStr">
        <is>
          <t>Still Lenses</t>
        </is>
      </c>
      <c r="B6" s="6" t="inlineStr">
        <is>
          <t>Contemporary Primes – I Series (Full-frame)</t>
        </is>
      </c>
      <c r="C6" s="6" t="n">
        <v>9</v>
      </c>
      <c r="D6" s="6" t="inlineStr">
        <is>
          <t>See 'Still Lenses' sheet</t>
        </is>
      </c>
    </row>
    <row r="7">
      <c r="A7" s="6" t="inlineStr">
        <is>
          <t>Still Lenses</t>
        </is>
      </c>
      <c r="B7" s="6" t="inlineStr">
        <is>
          <t>Contemporary Primes (APS-C DC DN)</t>
        </is>
      </c>
      <c r="C7" s="6" t="n">
        <v>6</v>
      </c>
      <c r="D7" s="6" t="inlineStr">
        <is>
          <t>See 'Still Lenses' sheet</t>
        </is>
      </c>
    </row>
    <row r="8">
      <c r="A8" s="6" t="inlineStr">
        <is>
          <t>Still Lenses</t>
        </is>
      </c>
      <c r="B8" s="6" t="inlineStr">
        <is>
          <t>Contemporary Zooms</t>
        </is>
      </c>
      <c r="C8" s="6" t="n">
        <v>9</v>
      </c>
      <c r="D8" s="6" t="inlineStr">
        <is>
          <t>See 'Still Lenses' sheet</t>
        </is>
      </c>
    </row>
    <row r="9">
      <c r="A9" s="7" t="inlineStr">
        <is>
          <t>Still Lenses</t>
        </is>
      </c>
      <c r="B9" s="7" t="inlineStr">
        <is>
          <t>Sports Primes</t>
        </is>
      </c>
      <c r="C9" s="7" t="n">
        <v>2</v>
      </c>
      <c r="D9" s="7" t="inlineStr">
        <is>
          <t>See 'Still Lenses' sheet</t>
        </is>
      </c>
    </row>
    <row r="10">
      <c r="A10" s="7" t="inlineStr">
        <is>
          <t>Still Lenses</t>
        </is>
      </c>
      <c r="B10" s="7" t="inlineStr">
        <is>
          <t>Sports Zooms</t>
        </is>
      </c>
      <c r="C10" s="7" t="n">
        <v>6</v>
      </c>
      <c r="D10" s="7" t="inlineStr">
        <is>
          <t>See 'Still Lenses' sheet</t>
        </is>
      </c>
    </row>
    <row r="11">
      <c r="A11" s="8" t="inlineStr">
        <is>
          <t>Cine Lenses</t>
        </is>
      </c>
      <c r="B11" s="8" t="inlineStr">
        <is>
          <t>Aizu Prime Line</t>
        </is>
      </c>
      <c r="C11" s="8" t="n">
        <v>8</v>
      </c>
      <c r="D11" s="8" t="inlineStr">
        <is>
          <t>See 'Cine Lenses' sheet</t>
        </is>
      </c>
    </row>
    <row r="12">
      <c r="A12" s="8" t="inlineStr">
        <is>
          <t>Cine Lenses</t>
        </is>
      </c>
      <c r="B12" s="8" t="inlineStr">
        <is>
          <t>FF High Speed Prime Line</t>
        </is>
      </c>
      <c r="C12" s="8" t="n">
        <v>10</v>
      </c>
      <c r="D12" s="8" t="inlineStr">
        <is>
          <t>See 'Cine Lenses' sheet</t>
        </is>
      </c>
    </row>
    <row r="13">
      <c r="A13" s="8" t="inlineStr">
        <is>
          <t>Cine Lenses</t>
        </is>
      </c>
      <c r="B13" s="8" t="inlineStr">
        <is>
          <t>FF Classic Prime Line</t>
        </is>
      </c>
      <c r="C13" s="8" t="n">
        <v>10</v>
      </c>
      <c r="D13" s="8" t="inlineStr">
        <is>
          <t>See 'Cine Lenses' sheet</t>
        </is>
      </c>
    </row>
    <row r="14">
      <c r="A14" s="8" t="inlineStr">
        <is>
          <t>Cine Lenses</t>
        </is>
      </c>
      <c r="B14" s="8" t="inlineStr">
        <is>
          <t>AF Cine Line</t>
        </is>
      </c>
      <c r="C14" s="8" t="n">
        <v>2</v>
      </c>
      <c r="D14" s="8" t="inlineStr">
        <is>
          <t>See 'Cine Lenses' sheet</t>
        </is>
      </c>
    </row>
    <row r="15">
      <c r="A15" s="8" t="inlineStr">
        <is>
          <t>Cine Lenses</t>
        </is>
      </c>
      <c r="B15" s="8" t="inlineStr">
        <is>
          <t>FF Zoom Line</t>
        </is>
      </c>
      <c r="C15" s="8" t="n">
        <v>1</v>
      </c>
      <c r="D15" s="8" t="inlineStr">
        <is>
          <t>See 'Cine Lenses' sheet</t>
        </is>
      </c>
    </row>
    <row r="16">
      <c r="A16" s="8" t="inlineStr">
        <is>
          <t>Cine Lenses</t>
        </is>
      </c>
      <c r="B16" s="8" t="inlineStr">
        <is>
          <t>High Speed Zoom Line</t>
        </is>
      </c>
      <c r="C16" s="8" t="n">
        <v>2</v>
      </c>
      <c r="D16" s="8" t="inlineStr">
        <is>
          <t>See 'Cine Lenses' sheet</t>
        </is>
      </c>
    </row>
    <row r="17">
      <c r="A17" s="9" t="inlineStr">
        <is>
          <t>Cameras</t>
        </is>
      </c>
      <c r="B17" s="9" t="inlineStr">
        <is>
          <t>Full-frame Mirrorless (L-Mount)</t>
        </is>
      </c>
      <c r="C17" s="9" t="n">
        <v>3</v>
      </c>
      <c r="D17" s="9" t="inlineStr">
        <is>
          <t>See 'Cameras' sheet</t>
        </is>
      </c>
    </row>
    <row r="18">
      <c r="A18" s="10" t="inlineStr">
        <is>
          <t>Accessories</t>
        </is>
      </c>
      <c r="B18" s="10" t="inlineStr">
        <is>
          <t>USB Dock</t>
        </is>
      </c>
      <c r="C18" s="10" t="n">
        <v>2</v>
      </c>
      <c r="D18" s="10" t="inlineStr">
        <is>
          <t>See 'Accessories' sheet</t>
        </is>
      </c>
    </row>
    <row r="19">
      <c r="A19" s="10" t="inlineStr">
        <is>
          <t>Accessories</t>
        </is>
      </c>
      <c r="B19" s="10" t="inlineStr">
        <is>
          <t>Tele Converter</t>
        </is>
      </c>
      <c r="C19" s="10" t="n">
        <v>2</v>
      </c>
      <c r="D19" s="10" t="inlineStr">
        <is>
          <t>See 'Accessories' sheet</t>
        </is>
      </c>
    </row>
    <row r="20">
      <c r="A20" s="10" t="inlineStr">
        <is>
          <t>Accessories</t>
        </is>
      </c>
      <c r="B20" s="10" t="inlineStr">
        <is>
          <t>Filters (Protector / PL / UV)</t>
        </is>
      </c>
      <c r="C20" s="10" t="n">
        <v>5</v>
      </c>
      <c r="D20" s="10" t="inlineStr">
        <is>
          <t>See 'Accessories' sheet</t>
        </is>
      </c>
    </row>
    <row r="21">
      <c r="A21" s="10" t="inlineStr">
        <is>
          <t>Accessories</t>
        </is>
      </c>
      <c r="B21" s="10" t="inlineStr">
        <is>
          <t>Mount Converter</t>
        </is>
      </c>
      <c r="C21" s="10" t="n">
        <v>3</v>
      </c>
      <c r="D21" s="10" t="inlineStr">
        <is>
          <t>See 'Accessories' sheet</t>
        </is>
      </c>
    </row>
    <row r="22">
      <c r="A22" s="10" t="inlineStr">
        <is>
          <t>Accessories</t>
        </is>
      </c>
      <c r="B22" s="10" t="inlineStr">
        <is>
          <t>Flash</t>
        </is>
      </c>
      <c r="C22" s="10" t="n">
        <v>2</v>
      </c>
      <c r="D22" s="10" t="inlineStr">
        <is>
          <t>See 'Accessories' sheet</t>
        </is>
      </c>
    </row>
    <row r="23">
      <c r="A23" s="10" t="inlineStr">
        <is>
          <t>Accessories</t>
        </is>
      </c>
      <c r="B23" s="10" t="inlineStr">
        <is>
          <t>Viewfinder / USB Flash Dock</t>
        </is>
      </c>
      <c r="C23" s="10" t="n">
        <v>2</v>
      </c>
      <c r="D23" s="10" t="inlineStr">
        <is>
          <t>See 'Accessories' sheet</t>
        </is>
      </c>
    </row>
    <row r="24">
      <c r="A24" s="11" t="inlineStr">
        <is>
          <t>TOTAL</t>
        </is>
      </c>
      <c r="B24" s="11" t="inlineStr">
        <is>
          <t>All Products</t>
        </is>
      </c>
      <c r="C24" s="12">
        <f>SUM(C4:C23)</f>
        <v/>
      </c>
      <c r="D24" s="1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3" customWidth="1" min="4" max="4"/>
    <col width="14" customWidth="1" min="5" max="5"/>
    <col width="13" customWidth="1" min="6" max="6"/>
    <col width="12" customWidth="1" min="7" max="7"/>
    <col width="42" customWidth="1" min="8" max="8"/>
    <col width="20" customWidth="1" min="9" max="9"/>
    <col width="15" customWidth="1" min="10" max="10"/>
    <col width="18" customWidth="1" min="11" max="11"/>
    <col width="18" customWidth="1" min="12" max="12"/>
    <col width="12" customWidth="1" min="13" max="13"/>
    <col width="38" customWidth="1" min="14" max="14"/>
    <col width="18" customWidth="1" min="15" max="15"/>
    <col width="50" customWidth="1" min="16" max="16"/>
    <col width="16" customWidth="1" min="17" max="17"/>
    <col width="60" customWidth="1" min="18" max="18"/>
    <col width="55" customWidth="1" min="19" max="19"/>
    <col width="12" customWidth="1" min="20" max="20"/>
  </cols>
  <sheetData>
    <row r="1" ht="32" customHeight="1">
      <c r="A1" s="13" t="inlineStr">
        <is>
          <t>Product Name</t>
        </is>
      </c>
      <c r="B1" s="13" t="inlineStr">
        <is>
          <t>Product Line</t>
        </is>
      </c>
      <c r="C1" s="13" t="inlineStr">
        <is>
          <t>Lens Type</t>
        </is>
      </c>
      <c r="D1" s="13" t="inlineStr">
        <is>
          <t>Sensor Format</t>
        </is>
      </c>
      <c r="E1" s="13" t="inlineStr">
        <is>
          <t>Focal Length</t>
        </is>
      </c>
      <c r="F1" s="13" t="inlineStr">
        <is>
          <t>Max Aperture</t>
        </is>
      </c>
      <c r="G1" s="13" t="inlineStr">
        <is>
          <t>Min Aperture</t>
        </is>
      </c>
      <c r="H1" s="13" t="inlineStr">
        <is>
          <t>Lens Construction</t>
        </is>
      </c>
      <c r="I1" s="13" t="inlineStr">
        <is>
          <t>Angle of View</t>
        </is>
      </c>
      <c r="J1" s="13" t="inlineStr">
        <is>
          <t>Diaphragm Blades</t>
        </is>
      </c>
      <c r="K1" s="13" t="inlineStr">
        <is>
          <t>Min Focus Distance</t>
        </is>
      </c>
      <c r="L1" s="13" t="inlineStr">
        <is>
          <t>Max Magnification</t>
        </is>
      </c>
      <c r="M1" s="13" t="inlineStr">
        <is>
          <t>Filter Size</t>
        </is>
      </c>
      <c r="N1" s="13" t="inlineStr">
        <is>
          <t>Dimensions (Ø×L)</t>
        </is>
      </c>
      <c r="O1" s="13" t="inlineStr">
        <is>
          <t>Weight</t>
        </is>
      </c>
      <c r="P1" s="13" t="inlineStr">
        <is>
          <t>Available Mounts</t>
        </is>
      </c>
      <c r="Q1" s="13" t="inlineStr">
        <is>
          <t>Camera Type</t>
        </is>
      </c>
      <c r="R1" s="13" t="inlineStr">
        <is>
          <t>Key Features</t>
        </is>
      </c>
      <c r="S1" s="13" t="inlineStr">
        <is>
          <t>Product URL</t>
        </is>
      </c>
      <c r="T1" s="13" t="inlineStr">
        <is>
          <t>Edition Code</t>
        </is>
      </c>
    </row>
    <row r="2">
      <c r="A2" s="14" t="inlineStr">
        <is>
          <t>14mm F1.8 DG HSM</t>
        </is>
      </c>
      <c r="B2" s="14" t="inlineStr">
        <is>
          <t>Art</t>
        </is>
      </c>
      <c r="C2" s="14" t="inlineStr">
        <is>
          <t>Prime</t>
        </is>
      </c>
      <c r="D2" s="14" t="inlineStr">
        <is>
          <t>Full-frame</t>
        </is>
      </c>
      <c r="E2" s="14" t="inlineStr">
        <is>
          <t>14mm</t>
        </is>
      </c>
      <c r="F2" s="14" t="inlineStr">
        <is>
          <t>F1.8</t>
        </is>
      </c>
      <c r="G2" s="14" t="inlineStr">
        <is>
          <t>F16</t>
        </is>
      </c>
      <c r="H2" s="14" t="inlineStr">
        <is>
          <t>14 elements in 11 groups (3 FLD, 4 SLD, 3 aspherical)</t>
        </is>
      </c>
      <c r="I2" s="14" t="inlineStr">
        <is>
          <t>114°</t>
        </is>
      </c>
      <c r="J2" s="14" t="inlineStr">
        <is>
          <t>9 (rounded)</t>
        </is>
      </c>
      <c r="K2" s="14" t="inlineStr">
        <is>
          <t>27cm</t>
        </is>
      </c>
      <c r="L2" s="14" t="inlineStr">
        <is>
          <t>1:7.1</t>
        </is>
      </c>
      <c r="M2" s="14" t="inlineStr">
        <is>
          <t>φ82mm</t>
        </is>
      </c>
      <c r="N2" s="14" t="inlineStr">
        <is>
          <t>φ95.4×121.5mm</t>
        </is>
      </c>
      <c r="O2" s="14" t="inlineStr">
        <is>
          <t>1,170g</t>
        </is>
      </c>
      <c r="P2" s="14" t="inlineStr">
        <is>
          <t>Canon EF, Nikon F, Sigma SA</t>
        </is>
      </c>
      <c r="Q2" s="14" t="inlineStr">
        <is>
          <t>DSLR</t>
        </is>
      </c>
      <c r="R2" s="14" t="inlineStr">
        <is>
          <t>Ultra-wide prime, ideal for astrophotography and landscape</t>
        </is>
      </c>
      <c r="S2" s="14" t="inlineStr">
        <is>
          <t>https://www.sigma-global.com/en/lenses/a017_14_18/</t>
        </is>
      </c>
      <c r="T2" s="14" t="inlineStr">
        <is>
          <t>A017</t>
        </is>
      </c>
    </row>
    <row r="3">
      <c r="A3" s="15" t="inlineStr">
        <is>
          <t>14mm F1.4 DG HSM</t>
        </is>
      </c>
      <c r="B3" s="15" t="inlineStr">
        <is>
          <t>Art</t>
        </is>
      </c>
      <c r="C3" s="15" t="inlineStr">
        <is>
          <t>Prime</t>
        </is>
      </c>
      <c r="D3" s="15" t="inlineStr">
        <is>
          <t>Full-frame</t>
        </is>
      </c>
      <c r="E3" s="15" t="inlineStr">
        <is>
          <t>14mm</t>
        </is>
      </c>
      <c r="F3" s="15" t="inlineStr">
        <is>
          <t>F1.4</t>
        </is>
      </c>
      <c r="G3" s="15" t="inlineStr">
        <is>
          <t>F16</t>
        </is>
      </c>
      <c r="H3" s="15" t="inlineStr">
        <is>
          <t>18 elements in 14 groups (2 FLD, 6 aspherical)</t>
        </is>
      </c>
      <c r="I3" s="15" t="inlineStr">
        <is>
          <t>114°</t>
        </is>
      </c>
      <c r="J3" s="15" t="inlineStr">
        <is>
          <t>11 (rounded)</t>
        </is>
      </c>
      <c r="K3" s="15" t="inlineStr">
        <is>
          <t>27cm</t>
        </is>
      </c>
      <c r="L3" s="15" t="inlineStr">
        <is>
          <t>1:7.5</t>
        </is>
      </c>
      <c r="M3" s="15" t="inlineStr">
        <is>
          <t>φ82mm</t>
        </is>
      </c>
      <c r="N3" s="15" t="inlineStr">
        <is>
          <t>φ93.2×125.2mm</t>
        </is>
      </c>
      <c r="O3" s="15" t="inlineStr">
        <is>
          <t>1,170g</t>
        </is>
      </c>
      <c r="P3" s="15" t="inlineStr">
        <is>
          <t>L-Mount, Sony E, Canon EF, Nikon F</t>
        </is>
      </c>
      <c r="Q3" s="15" t="inlineStr">
        <is>
          <t>Mirrorless/DSLR</t>
        </is>
      </c>
      <c r="R3" s="15" t="inlineStr">
        <is>
          <t>World's widest F1.4 prime; perfect for night sky photography</t>
        </is>
      </c>
      <c r="S3" s="15" t="inlineStr">
        <is>
          <t>https://www.sigma-global.com/en/lenses/a023_14_14_re/</t>
        </is>
      </c>
      <c r="T3" s="15" t="inlineStr">
        <is>
          <t>A023</t>
        </is>
      </c>
    </row>
    <row r="4">
      <c r="A4" s="14" t="inlineStr">
        <is>
          <t>15mm F1.4 DG DN Diagonal Fisheye</t>
        </is>
      </c>
      <c r="B4" s="14" t="inlineStr">
        <is>
          <t>Art</t>
        </is>
      </c>
      <c r="C4" s="14" t="inlineStr">
        <is>
          <t>Prime / Fisheye</t>
        </is>
      </c>
      <c r="D4" s="14" t="inlineStr">
        <is>
          <t>Full-frame</t>
        </is>
      </c>
      <c r="E4" s="14" t="inlineStr">
        <is>
          <t>15mm</t>
        </is>
      </c>
      <c r="F4" s="14" t="inlineStr">
        <is>
          <t>F1.4</t>
        </is>
      </c>
      <c r="G4" s="14" t="inlineStr">
        <is>
          <t>F16</t>
        </is>
      </c>
      <c r="H4" s="14" t="inlineStr">
        <is>
          <t>16 elements in 12 groups</t>
        </is>
      </c>
      <c r="I4" s="14" t="inlineStr">
        <is>
          <t>180°</t>
        </is>
      </c>
      <c r="J4" s="14" t="inlineStr">
        <is>
          <t>17.5cm</t>
        </is>
      </c>
      <c r="K4" s="14" t="inlineStr">
        <is>
          <t>1:4</t>
        </is>
      </c>
      <c r="L4" s="14" t="inlineStr">
        <is>
          <t>φ86mm</t>
        </is>
      </c>
      <c r="M4" s="14" t="inlineStr">
        <is>
          <t>φ88.8×95.6mm (L) / φ88.8×97.6mm (E)</t>
        </is>
      </c>
      <c r="N4" s="14" t="inlineStr">
        <is>
          <t>685g / 680g</t>
        </is>
      </c>
      <c r="O4" s="14" t="inlineStr">
        <is>
          <t>L-Mount, Sony E-mount</t>
        </is>
      </c>
      <c r="P4" s="14" t="inlineStr">
        <is>
          <t>Mirrorless</t>
        </is>
      </c>
      <c r="Q4" s="14" t="inlineStr">
        <is>
          <t>180° diagonal fisheye with F1.4 aperture; creative wide perspectives</t>
        </is>
      </c>
      <c r="R4" s="14" t="inlineStr">
        <is>
          <t>https://www.sigma-global.com/en/lenses/a024_15_14/</t>
        </is>
      </c>
      <c r="S4" s="14" t="inlineStr">
        <is>
          <t>A024</t>
        </is>
      </c>
    </row>
    <row r="5">
      <c r="A5" s="15" t="inlineStr">
        <is>
          <t>20mm F1.4 DG DN</t>
        </is>
      </c>
      <c r="B5" s="15" t="inlineStr">
        <is>
          <t>Art</t>
        </is>
      </c>
      <c r="C5" s="15" t="inlineStr">
        <is>
          <t>Prime</t>
        </is>
      </c>
      <c r="D5" s="15" t="inlineStr">
        <is>
          <t>Full-frame</t>
        </is>
      </c>
      <c r="E5" s="15" t="inlineStr">
        <is>
          <t>20mm</t>
        </is>
      </c>
      <c r="F5" s="15" t="inlineStr">
        <is>
          <t>F1.4</t>
        </is>
      </c>
      <c r="G5" s="15" t="inlineStr">
        <is>
          <t>F16</t>
        </is>
      </c>
      <c r="H5" s="15" t="inlineStr">
        <is>
          <t>17 elements in 12 groups (3 FLD, 4 SLD, 2 aspherical)</t>
        </is>
      </c>
      <c r="I5" s="15" t="inlineStr">
        <is>
          <t>94.5°</t>
        </is>
      </c>
      <c r="J5" s="15" t="inlineStr">
        <is>
          <t>20cm</t>
        </is>
      </c>
      <c r="K5" s="15" t="inlineStr">
        <is>
          <t>1:7.5</t>
        </is>
      </c>
      <c r="L5" s="15" t="inlineStr">
        <is>
          <t>φ82mm</t>
        </is>
      </c>
      <c r="M5" s="15" t="inlineStr">
        <is>
          <t>φ87.8×100.7mm (L) / φ87.8×102.0mm (E)</t>
        </is>
      </c>
      <c r="N5" s="15" t="inlineStr">
        <is>
          <t>635g / 630g</t>
        </is>
      </c>
      <c r="O5" s="15" t="inlineStr">
        <is>
          <t>L-Mount, Sony E-mount</t>
        </is>
      </c>
      <c r="P5" s="15" t="inlineStr">
        <is>
          <t>Mirrorless</t>
        </is>
      </c>
      <c r="Q5" s="15" t="inlineStr">
        <is>
          <t>Ultra-wide prime; HLA AF system; dust and splash resistant</t>
        </is>
      </c>
      <c r="R5" s="15" t="inlineStr">
        <is>
          <t>https://www.sigma-global.com/en/lenses/a022_20_14/</t>
        </is>
      </c>
      <c r="S5" s="15" t="inlineStr">
        <is>
          <t>A022</t>
        </is>
      </c>
    </row>
    <row r="6">
      <c r="A6" s="14" t="inlineStr">
        <is>
          <t>24mm F1.4 DG DN</t>
        </is>
      </c>
      <c r="B6" s="14" t="inlineStr">
        <is>
          <t>Art</t>
        </is>
      </c>
      <c r="C6" s="14" t="inlineStr">
        <is>
          <t>Prime</t>
        </is>
      </c>
      <c r="D6" s="14" t="inlineStr">
        <is>
          <t>Full-frame</t>
        </is>
      </c>
      <c r="E6" s="14" t="inlineStr">
        <is>
          <t>24mm</t>
        </is>
      </c>
      <c r="F6" s="14" t="inlineStr">
        <is>
          <t>F1.4</t>
        </is>
      </c>
      <c r="G6" s="14" t="inlineStr">
        <is>
          <t>F16</t>
        </is>
      </c>
      <c r="H6" s="14" t="inlineStr">
        <is>
          <t>16 elements in 12 groups (2 FLD, 4 SLD, 2 aspherical)</t>
        </is>
      </c>
      <c r="I6" s="14" t="inlineStr">
        <is>
          <t>84.1°</t>
        </is>
      </c>
      <c r="J6" s="14" t="inlineStr">
        <is>
          <t>24cm</t>
        </is>
      </c>
      <c r="K6" s="14" t="inlineStr">
        <is>
          <t>1:6.6</t>
        </is>
      </c>
      <c r="L6" s="14" t="inlineStr">
        <is>
          <t>φ72mm</t>
        </is>
      </c>
      <c r="M6" s="14" t="inlineStr">
        <is>
          <t>φ75.2×87.5mm (L) / φ75.2×89.5mm (E)</t>
        </is>
      </c>
      <c r="N6" s="14" t="inlineStr">
        <is>
          <t>440g / 435g</t>
        </is>
      </c>
      <c r="O6" s="14" t="inlineStr">
        <is>
          <t>L-Mount, Sony E-mount</t>
        </is>
      </c>
      <c r="P6" s="14" t="inlineStr">
        <is>
          <t>Mirrorless</t>
        </is>
      </c>
      <c r="Q6" s="14" t="inlineStr">
        <is>
          <t>Compact wide-angle prime; balanced portability and optical excellence</t>
        </is>
      </c>
      <c r="R6" s="14" t="inlineStr">
        <is>
          <t>https://www.sigma-global.com/en/lenses/a022_24_14/</t>
        </is>
      </c>
      <c r="S6" s="14" t="inlineStr">
        <is>
          <t>A022</t>
        </is>
      </c>
    </row>
    <row r="7">
      <c r="A7" s="15" t="inlineStr">
        <is>
          <t>28mm F1.4 DG HSM</t>
        </is>
      </c>
      <c r="B7" s="15" t="inlineStr">
        <is>
          <t>Art</t>
        </is>
      </c>
      <c r="C7" s="15" t="inlineStr">
        <is>
          <t>Prime</t>
        </is>
      </c>
      <c r="D7" s="15" t="inlineStr">
        <is>
          <t>Full-frame</t>
        </is>
      </c>
      <c r="E7" s="15" t="inlineStr">
        <is>
          <t>28mm</t>
        </is>
      </c>
      <c r="F7" s="15" t="inlineStr">
        <is>
          <t>F1.4</t>
        </is>
      </c>
      <c r="G7" s="15" t="inlineStr">
        <is>
          <t>F16</t>
        </is>
      </c>
      <c r="H7" s="15" t="inlineStr">
        <is>
          <t>14 elements in 11 groups (1 FLD, 3 SLD, 3 aspherical)</t>
        </is>
      </c>
      <c r="I7" s="15" t="inlineStr">
        <is>
          <t>75.4°</t>
        </is>
      </c>
      <c r="J7" s="15" t="inlineStr">
        <is>
          <t>28cm</t>
        </is>
      </c>
      <c r="K7" s="15" t="inlineStr">
        <is>
          <t>1:5.8</t>
        </is>
      </c>
      <c r="L7" s="15" t="inlineStr">
        <is>
          <t>φ82mm</t>
        </is>
      </c>
      <c r="M7" s="15" t="inlineStr">
        <is>
          <t>φ88.6×107.8mm</t>
        </is>
      </c>
      <c r="N7" s="15" t="inlineStr">
        <is>
          <t>790g</t>
        </is>
      </c>
      <c r="O7" s="15" t="inlineStr">
        <is>
          <t>Canon EF, Nikon F, Sigma SA</t>
        </is>
      </c>
      <c r="P7" s="15" t="inlineStr">
        <is>
          <t>DSLR</t>
        </is>
      </c>
      <c r="Q7" s="15" t="inlineStr">
        <is>
          <t>Wide-angle prime; HSM autofocus; Super Multi-Layer Coating</t>
        </is>
      </c>
      <c r="R7" s="15" t="inlineStr">
        <is>
          <t>https://www.sigma-global.com/en/lenses/a019_28_14/</t>
        </is>
      </c>
      <c r="S7" s="15" t="inlineStr">
        <is>
          <t>A019</t>
        </is>
      </c>
    </row>
    <row r="8">
      <c r="A8" s="14" t="inlineStr">
        <is>
          <t>35mm F1.2 DG DN II</t>
        </is>
      </c>
      <c r="B8" s="14" t="inlineStr">
        <is>
          <t>Art</t>
        </is>
      </c>
      <c r="C8" s="14" t="inlineStr">
        <is>
          <t>Prime</t>
        </is>
      </c>
      <c r="D8" s="14" t="inlineStr">
        <is>
          <t>Full-frame</t>
        </is>
      </c>
      <c r="E8" s="14" t="inlineStr">
        <is>
          <t>35mm</t>
        </is>
      </c>
      <c r="F8" s="14" t="inlineStr">
        <is>
          <t>F1.2</t>
        </is>
      </c>
      <c r="G8" s="14" t="inlineStr">
        <is>
          <t>F16</t>
        </is>
      </c>
      <c r="H8" s="14" t="inlineStr">
        <is>
          <t>17 elements in 13 groups (2 FLD, 4 SLD, 3 aspherical)</t>
        </is>
      </c>
      <c r="I8" s="14" t="inlineStr">
        <is>
          <t>63.4°</t>
        </is>
      </c>
      <c r="J8" s="14" t="inlineStr">
        <is>
          <t>30cm</t>
        </is>
      </c>
      <c r="K8" s="14" t="inlineStr">
        <is>
          <t>1:5.5</t>
        </is>
      </c>
      <c r="L8" s="14" t="inlineStr">
        <is>
          <t>φ82mm</t>
        </is>
      </c>
      <c r="M8" s="14" t="inlineStr">
        <is>
          <t>φ87.8×125.1mm (L) / φ87.8×127.5mm (E)</t>
        </is>
      </c>
      <c r="N8" s="14" t="inlineStr">
        <is>
          <t>930g / 920g</t>
        </is>
      </c>
      <c r="O8" s="14" t="inlineStr">
        <is>
          <t>L-Mount, Sony E-mount</t>
        </is>
      </c>
      <c r="P8" s="14" t="inlineStr">
        <is>
          <t>Mirrorless</t>
        </is>
      </c>
      <c r="Q8" s="14" t="inlineStr">
        <is>
          <t>Ultra-fast F1.2 prime; HLA dual AF; exceptional low-light performance</t>
        </is>
      </c>
      <c r="R8" s="14" t="inlineStr">
        <is>
          <t>https://www.sigma-global.com/en/lenses/a025_35_12/</t>
        </is>
      </c>
      <c r="S8" s="14" t="inlineStr">
        <is>
          <t>A025</t>
        </is>
      </c>
    </row>
    <row r="9">
      <c r="A9" s="15" t="inlineStr">
        <is>
          <t>35mm F1.4 DG DN</t>
        </is>
      </c>
      <c r="B9" s="15" t="inlineStr">
        <is>
          <t>Art</t>
        </is>
      </c>
      <c r="C9" s="15" t="inlineStr">
        <is>
          <t>Prime</t>
        </is>
      </c>
      <c r="D9" s="15" t="inlineStr">
        <is>
          <t>Full-frame</t>
        </is>
      </c>
      <c r="E9" s="15" t="inlineStr">
        <is>
          <t>35mm</t>
        </is>
      </c>
      <c r="F9" s="15" t="inlineStr">
        <is>
          <t>F1.4</t>
        </is>
      </c>
      <c r="G9" s="15" t="inlineStr">
        <is>
          <t>F16</t>
        </is>
      </c>
      <c r="H9" s="15" t="inlineStr">
        <is>
          <t>15 elements in 11 groups (2 FLD, 2 SLD, 2 aspherical)</t>
        </is>
      </c>
      <c r="I9" s="15" t="inlineStr">
        <is>
          <t>63.4°</t>
        </is>
      </c>
      <c r="J9" s="15" t="inlineStr">
        <is>
          <t>30cm</t>
        </is>
      </c>
      <c r="K9" s="15" t="inlineStr">
        <is>
          <t>1:5.6</t>
        </is>
      </c>
      <c r="L9" s="15" t="inlineStr">
        <is>
          <t>φ67mm</t>
        </is>
      </c>
      <c r="M9" s="15" t="inlineStr">
        <is>
          <t>φ75.0×99.2mm (L) / φ75.0×101.6mm (E)</t>
        </is>
      </c>
      <c r="N9" s="15" t="inlineStr">
        <is>
          <t>645g / 640g</t>
        </is>
      </c>
      <c r="O9" s="15" t="inlineStr">
        <is>
          <t>L-Mount, Sony E-mount</t>
        </is>
      </c>
      <c r="P9" s="15" t="inlineStr">
        <is>
          <t>Mirrorless</t>
        </is>
      </c>
      <c r="Q9" s="15" t="inlineStr">
        <is>
          <t>Versatile standard-wide prime; compact and lightweight for mirrorless</t>
        </is>
      </c>
      <c r="R9" s="15" t="inlineStr">
        <is>
          <t>https://www.sigma-global.com/en/lenses/a021_35_14/</t>
        </is>
      </c>
      <c r="S9" s="15" t="inlineStr">
        <is>
          <t>A021</t>
        </is>
      </c>
    </row>
    <row r="10">
      <c r="A10" s="14" t="inlineStr">
        <is>
          <t>35mm F1.4 DG II</t>
        </is>
      </c>
      <c r="B10" s="14" t="inlineStr">
        <is>
          <t>Art</t>
        </is>
      </c>
      <c r="C10" s="14" t="inlineStr">
        <is>
          <t>Prime</t>
        </is>
      </c>
      <c r="D10" s="14" t="inlineStr">
        <is>
          <t>Full-frame</t>
        </is>
      </c>
      <c r="E10" s="14" t="inlineStr">
        <is>
          <t>35mm</t>
        </is>
      </c>
      <c r="F10" s="14" t="inlineStr">
        <is>
          <t>F1.4</t>
        </is>
      </c>
      <c r="G10" s="14" t="inlineStr">
        <is>
          <t>F16</t>
        </is>
      </c>
      <c r="H10" s="14" t="inlineStr">
        <is>
          <t>15 elements in 12 groups (2 SLD, 4 aspherical)</t>
        </is>
      </c>
      <c r="I10" s="14" t="inlineStr">
        <is>
          <t>63.4°</t>
        </is>
      </c>
      <c r="J10" s="14" t="inlineStr">
        <is>
          <t>28cm</t>
        </is>
      </c>
      <c r="K10" s="14" t="inlineStr">
        <is>
          <t>1:5.4</t>
        </is>
      </c>
      <c r="L10" s="14" t="inlineStr">
        <is>
          <t>φ67mm</t>
        </is>
      </c>
      <c r="M10" s="14" t="inlineStr">
        <is>
          <t>φ73.0×94.0mm (L) / φ73.0×96.0mm (E)</t>
        </is>
      </c>
      <c r="N10" s="14" t="inlineStr">
        <is>
          <t>530g / 525g</t>
        </is>
      </c>
      <c r="O10" s="14" t="inlineStr">
        <is>
          <t>L-Mount, Sony E-mount</t>
        </is>
      </c>
      <c r="P10" s="14" t="inlineStr">
        <is>
          <t>Mirrorless</t>
        </is>
      </c>
      <c r="Q10" s="14" t="inlineStr">
        <is>
          <t>Latest-gen 35mm Art; AAC coating; dual HLA; lightest in the Art 35mm line</t>
        </is>
      </c>
      <c r="R10" s="14" t="inlineStr">
        <is>
          <t>https://www.sigma-global.com/en/lenses/a026_35_14/</t>
        </is>
      </c>
      <c r="S10" s="14" t="inlineStr">
        <is>
          <t>A026</t>
        </is>
      </c>
    </row>
    <row r="11">
      <c r="A11" s="15" t="inlineStr">
        <is>
          <t>50mm F1.2 DG DN</t>
        </is>
      </c>
      <c r="B11" s="15" t="inlineStr">
        <is>
          <t>Art</t>
        </is>
      </c>
      <c r="C11" s="15" t="inlineStr">
        <is>
          <t>Prime</t>
        </is>
      </c>
      <c r="D11" s="15" t="inlineStr">
        <is>
          <t>Full-frame</t>
        </is>
      </c>
      <c r="E11" s="15" t="inlineStr">
        <is>
          <t>50mm</t>
        </is>
      </c>
      <c r="F11" s="15" t="inlineStr">
        <is>
          <t>F1.2</t>
        </is>
      </c>
      <c r="G11" s="15" t="inlineStr">
        <is>
          <t>F16</t>
        </is>
      </c>
      <c r="H11" s="15" t="inlineStr">
        <is>
          <t>17 elements in 15 groups (5 SLD, 1 FLD, 6 aspherical)</t>
        </is>
      </c>
      <c r="I11" s="15" t="inlineStr">
        <is>
          <t>47.0°</t>
        </is>
      </c>
      <c r="J11" s="15" t="inlineStr">
        <is>
          <t>45cm</t>
        </is>
      </c>
      <c r="K11" s="15" t="inlineStr">
        <is>
          <t>1:7.2</t>
        </is>
      </c>
      <c r="L11" s="15" t="inlineStr">
        <is>
          <t>φ82mm</t>
        </is>
      </c>
      <c r="M11" s="15" t="inlineStr">
        <is>
          <t>φ87.8×107.5mm (L) / φ87.8×109.5mm (E)</t>
        </is>
      </c>
      <c r="N11" s="15" t="inlineStr">
        <is>
          <t>745g / 740g</t>
        </is>
      </c>
      <c r="O11" s="15" t="inlineStr">
        <is>
          <t>L-Mount, Sony E-mount</t>
        </is>
      </c>
      <c r="P11" s="15" t="inlineStr">
        <is>
          <t>Mirrorless</t>
        </is>
      </c>
      <c r="Q11" s="15" t="inlineStr">
        <is>
          <t>Fastest-aperture standard prime; creamy bokeh; fast silent HLA AF</t>
        </is>
      </c>
      <c r="R11" s="15" t="inlineStr">
        <is>
          <t>https://www.sigma-global.com/en/lenses/a024_50_12/</t>
        </is>
      </c>
      <c r="S11" s="15" t="inlineStr">
        <is>
          <t>A024</t>
        </is>
      </c>
    </row>
    <row r="12">
      <c r="A12" s="14" t="inlineStr">
        <is>
          <t>50mm F1.4 DG DN</t>
        </is>
      </c>
      <c r="B12" s="14" t="inlineStr">
        <is>
          <t>Art</t>
        </is>
      </c>
      <c r="C12" s="14" t="inlineStr">
        <is>
          <t>Prime</t>
        </is>
      </c>
      <c r="D12" s="14" t="inlineStr">
        <is>
          <t>Full-frame</t>
        </is>
      </c>
      <c r="E12" s="14" t="inlineStr">
        <is>
          <t>50mm</t>
        </is>
      </c>
      <c r="F12" s="14" t="inlineStr">
        <is>
          <t>F1.4</t>
        </is>
      </c>
      <c r="G12" s="14" t="inlineStr">
        <is>
          <t>F16</t>
        </is>
      </c>
      <c r="H12" s="14" t="inlineStr">
        <is>
          <t>17 elements in 15 groups (4 SLD, 3 aspherical)</t>
        </is>
      </c>
      <c r="I12" s="14" t="inlineStr">
        <is>
          <t>47.0°</t>
        </is>
      </c>
      <c r="J12" s="14" t="inlineStr">
        <is>
          <t>40cm</t>
        </is>
      </c>
      <c r="K12" s="14" t="inlineStr">
        <is>
          <t>1:6.9</t>
        </is>
      </c>
      <c r="L12" s="14" t="inlineStr">
        <is>
          <t>φ72mm</t>
        </is>
      </c>
      <c r="M12" s="14" t="inlineStr">
        <is>
          <t>φ80.0×111.0mm (L) / φ80.0×113.4mm (E)</t>
        </is>
      </c>
      <c r="N12" s="14" t="inlineStr">
        <is>
          <t>660g / 655g</t>
        </is>
      </c>
      <c r="O12" s="14" t="inlineStr">
        <is>
          <t>L-Mount, Sony E-mount</t>
        </is>
      </c>
      <c r="P12" s="14" t="inlineStr">
        <is>
          <t>Mirrorless</t>
        </is>
      </c>
      <c r="Q12" s="14" t="inlineStr">
        <is>
          <t>High-resolution standard prime with floating focus system</t>
        </is>
      </c>
      <c r="R12" s="14" t="inlineStr">
        <is>
          <t>https://www.sigma-global.com/en/lenses/a023_50_14/</t>
        </is>
      </c>
      <c r="S12" s="14" t="inlineStr">
        <is>
          <t>A023</t>
        </is>
      </c>
    </row>
    <row r="13">
      <c r="A13" s="15" t="inlineStr">
        <is>
          <t>70mm F2.8 DG MACRO</t>
        </is>
      </c>
      <c r="B13" s="15" t="inlineStr">
        <is>
          <t>Art</t>
        </is>
      </c>
      <c r="C13" s="15" t="inlineStr">
        <is>
          <t>Prime / Macro</t>
        </is>
      </c>
      <c r="D13" s="15" t="inlineStr">
        <is>
          <t>Full-frame</t>
        </is>
      </c>
      <c r="E13" s="15" t="inlineStr">
        <is>
          <t>70mm</t>
        </is>
      </c>
      <c r="F13" s="15" t="inlineStr">
        <is>
          <t>F2.8</t>
        </is>
      </c>
      <c r="G13" s="15" t="inlineStr">
        <is>
          <t>F22</t>
        </is>
      </c>
      <c r="H13" s="15" t="inlineStr">
        <is>
          <t>10 elements in 9 groups (1 SLD, 1 aspherical)</t>
        </is>
      </c>
      <c r="I13" s="15" t="inlineStr">
        <is>
          <t>34.3°</t>
        </is>
      </c>
      <c r="J13" s="15" t="inlineStr">
        <is>
          <t>25.7cm</t>
        </is>
      </c>
      <c r="K13" s="15" t="inlineStr">
        <is>
          <t>1:1</t>
        </is>
      </c>
      <c r="L13" s="15" t="inlineStr">
        <is>
          <t>φ49mm</t>
        </is>
      </c>
      <c r="M13" s="15" t="inlineStr">
        <is>
          <t>φ70.8×104.8mm</t>
        </is>
      </c>
      <c r="N13" s="15" t="inlineStr">
        <is>
          <t>515g</t>
        </is>
      </c>
      <c r="O13" s="15" t="inlineStr">
        <is>
          <t>Canon EF, Nikon F, Sigma SA</t>
        </is>
      </c>
      <c r="P13" s="15" t="inlineStr">
        <is>
          <t>DSLR</t>
        </is>
      </c>
      <c r="Q13" s="15" t="inlineStr">
        <is>
          <t>1:1 macro; excellent image quality; ideal for product and nature photography</t>
        </is>
      </c>
      <c r="R13" s="15" t="inlineStr">
        <is>
          <t>https://www.sigma-global.com/en/lenses/a018_70_28/</t>
        </is>
      </c>
      <c r="S13" s="15" t="inlineStr">
        <is>
          <t>A018</t>
        </is>
      </c>
    </row>
    <row r="14">
      <c r="A14" s="14" t="inlineStr">
        <is>
          <t>85mm F1.4 DG DN</t>
        </is>
      </c>
      <c r="B14" s="14" t="inlineStr">
        <is>
          <t>Art</t>
        </is>
      </c>
      <c r="C14" s="14" t="inlineStr">
        <is>
          <t>Prime</t>
        </is>
      </c>
      <c r="D14" s="14" t="inlineStr">
        <is>
          <t>Full-frame</t>
        </is>
      </c>
      <c r="E14" s="14" t="inlineStr">
        <is>
          <t>85mm</t>
        </is>
      </c>
      <c r="F14" s="14" t="inlineStr">
        <is>
          <t>F1.4</t>
        </is>
      </c>
      <c r="G14" s="14" t="inlineStr">
        <is>
          <t>F16</t>
        </is>
      </c>
      <c r="H14" s="14" t="inlineStr">
        <is>
          <t>15 elements in 11 groups (3 SLD, 3 FLD, 1 aspherical)</t>
        </is>
      </c>
      <c r="I14" s="14" t="inlineStr">
        <is>
          <t>28.5°</t>
        </is>
      </c>
      <c r="J14" s="14" t="inlineStr">
        <is>
          <t>85cm</t>
        </is>
      </c>
      <c r="K14" s="14" t="inlineStr">
        <is>
          <t>1:8.3</t>
        </is>
      </c>
      <c r="L14" s="14" t="inlineStr">
        <is>
          <t>φ77mm</t>
        </is>
      </c>
      <c r="M14" s="14" t="inlineStr">
        <is>
          <t>φ82.8×96.0mm (L) / φ82.8×98.0mm (E)</t>
        </is>
      </c>
      <c r="N14" s="14" t="inlineStr">
        <is>
          <t>700g / 695g</t>
        </is>
      </c>
      <c r="O14" s="14" t="inlineStr">
        <is>
          <t>L-Mount, Sony E-mount</t>
        </is>
      </c>
      <c r="P14" s="14" t="inlineStr">
        <is>
          <t>Mirrorless</t>
        </is>
      </c>
      <c r="Q14" s="14" t="inlineStr">
        <is>
          <t>Portrait prime; beautiful bokeh; HLA AF; dust/splash resistant</t>
        </is>
      </c>
      <c r="R14" s="14" t="inlineStr">
        <is>
          <t>https://www.sigma-global.com/en/lenses/a020_85_14/</t>
        </is>
      </c>
      <c r="S14" s="14" t="inlineStr">
        <is>
          <t>A020</t>
        </is>
      </c>
    </row>
    <row r="15">
      <c r="A15" s="15" t="inlineStr">
        <is>
          <t>105mm F2.8 DG DN MACRO</t>
        </is>
      </c>
      <c r="B15" s="15" t="inlineStr">
        <is>
          <t>Art</t>
        </is>
      </c>
      <c r="C15" s="15" t="inlineStr">
        <is>
          <t>Prime / Macro</t>
        </is>
      </c>
      <c r="D15" s="15" t="inlineStr">
        <is>
          <t>Full-frame</t>
        </is>
      </c>
      <c r="E15" s="15" t="inlineStr">
        <is>
          <t>105mm</t>
        </is>
      </c>
      <c r="F15" s="15" t="inlineStr">
        <is>
          <t>F2.8</t>
        </is>
      </c>
      <c r="G15" s="15" t="inlineStr">
        <is>
          <t>F22</t>
        </is>
      </c>
      <c r="H15" s="15" t="inlineStr">
        <is>
          <t>17 elements in 12 groups (3 SLD, 1 FLD, 1 aspherical)</t>
        </is>
      </c>
      <c r="I15" s="15" t="inlineStr">
        <is>
          <t>23.6°</t>
        </is>
      </c>
      <c r="J15" s="15" t="inlineStr">
        <is>
          <t>29.5cm</t>
        </is>
      </c>
      <c r="K15" s="15" t="inlineStr">
        <is>
          <t>1:1</t>
        </is>
      </c>
      <c r="L15" s="15" t="inlineStr">
        <is>
          <t>φ67mm</t>
        </is>
      </c>
      <c r="M15" s="15" t="inlineStr">
        <is>
          <t>φ74.0×135.4mm (L) / φ74.0×137.4mm (E)</t>
        </is>
      </c>
      <c r="N15" s="15" t="inlineStr">
        <is>
          <t>715g / 710g</t>
        </is>
      </c>
      <c r="O15" s="15" t="inlineStr">
        <is>
          <t>L-Mount, Sony E-mount</t>
        </is>
      </c>
      <c r="P15" s="15" t="inlineStr">
        <is>
          <t>Mirrorless</t>
        </is>
      </c>
      <c r="Q15" s="15" t="inlineStr">
        <is>
          <t>1:1 macro; HLA AF; dual focus limiter; beautiful background blur</t>
        </is>
      </c>
      <c r="R15" s="15" t="inlineStr">
        <is>
          <t>https://www.sigma-global.com/en/lenses/a020_105_28/</t>
        </is>
      </c>
      <c r="S15" s="15" t="inlineStr">
        <is>
          <t>A020</t>
        </is>
      </c>
    </row>
    <row r="16">
      <c r="A16" s="14" t="inlineStr">
        <is>
          <t>135mm F1.4 DG</t>
        </is>
      </c>
      <c r="B16" s="14" t="inlineStr">
        <is>
          <t>Art</t>
        </is>
      </c>
      <c r="C16" s="14" t="inlineStr">
        <is>
          <t>Prime</t>
        </is>
      </c>
      <c r="D16" s="14" t="inlineStr">
        <is>
          <t>Full-frame</t>
        </is>
      </c>
      <c r="E16" s="14" t="inlineStr">
        <is>
          <t>135mm</t>
        </is>
      </c>
      <c r="F16" s="14" t="inlineStr">
        <is>
          <t>F1.4</t>
        </is>
      </c>
      <c r="G16" s="14" t="inlineStr">
        <is>
          <t>F16</t>
        </is>
      </c>
      <c r="H16" s="14" t="inlineStr">
        <is>
          <t>13 elements in 10 groups (1 FLD, 4 SLD, 1 aspherical)</t>
        </is>
      </c>
      <c r="I16" s="14" t="inlineStr">
        <is>
          <t>18.2°</t>
        </is>
      </c>
      <c r="J16" s="14" t="inlineStr">
        <is>
          <t>87.5cm</t>
        </is>
      </c>
      <c r="K16" s="14" t="inlineStr">
        <is>
          <t>1:7.7</t>
        </is>
      </c>
      <c r="L16" s="14" t="inlineStr">
        <is>
          <t>φ82mm</t>
        </is>
      </c>
      <c r="M16" s="14" t="inlineStr">
        <is>
          <t>φ94.4×114.9mm (L) / φ94.4×117.3mm (E)</t>
        </is>
      </c>
      <c r="N16" s="14" t="inlineStr">
        <is>
          <t>1,130g / 1,125g</t>
        </is>
      </c>
      <c r="O16" s="14" t="inlineStr">
        <is>
          <t>L-Mount, Sony E-mount, Canon EF, Nikon F</t>
        </is>
      </c>
      <c r="P16" s="14" t="inlineStr">
        <is>
          <t>Mirrorless/DSLR</t>
        </is>
      </c>
      <c r="Q16" s="14" t="inlineStr">
        <is>
          <t>BOKEH-master lens; F1.4 at 135mm; excellent subject separation</t>
        </is>
      </c>
      <c r="R16" s="14" t="inlineStr">
        <is>
          <t>https://www.sigma-global.com/en/lenses/a025_135_14/</t>
        </is>
      </c>
      <c r="S16" s="14" t="inlineStr">
        <is>
          <t>A025</t>
        </is>
      </c>
    </row>
    <row r="17">
      <c r="A17" s="15" t="inlineStr">
        <is>
          <t>14–24mm F2.8 DG DN</t>
        </is>
      </c>
      <c r="B17" s="15" t="inlineStr">
        <is>
          <t>Art</t>
        </is>
      </c>
      <c r="C17" s="15" t="inlineStr">
        <is>
          <t>Zoom</t>
        </is>
      </c>
      <c r="D17" s="15" t="inlineStr">
        <is>
          <t>Full-frame</t>
        </is>
      </c>
      <c r="E17" s="15" t="inlineStr">
        <is>
          <t>14–24mm</t>
        </is>
      </c>
      <c r="F17" s="15" t="inlineStr">
        <is>
          <t>F2.8</t>
        </is>
      </c>
      <c r="G17" s="15" t="inlineStr">
        <is>
          <t>F22</t>
        </is>
      </c>
      <c r="H17" s="15" t="inlineStr">
        <is>
          <t>17 elements in 13 groups (3 FLD, 4 SLD, 3 aspherical)</t>
        </is>
      </c>
      <c r="I17" s="15" t="inlineStr">
        <is>
          <t>114.2–84.1°</t>
        </is>
      </c>
      <c r="J17" s="15" t="inlineStr">
        <is>
          <t>11 (rounded)</t>
        </is>
      </c>
      <c r="K17" s="15" t="inlineStr">
        <is>
          <t>28cm</t>
        </is>
      </c>
      <c r="L17" s="15" t="inlineStr">
        <is>
          <t>1:5.4</t>
        </is>
      </c>
      <c r="M17" s="15" t="inlineStr">
        <is>
          <t>—</t>
        </is>
      </c>
      <c r="N17" s="15" t="inlineStr">
        <is>
          <t>φ84.2×131.8mm (L) / φ85.5×130.8mm (E)</t>
        </is>
      </c>
      <c r="O17" s="15" t="inlineStr">
        <is>
          <t>795g</t>
        </is>
      </c>
      <c r="P17" s="15" t="inlineStr">
        <is>
          <t>L-Mount, Sony E-mount</t>
        </is>
      </c>
      <c r="Q17" s="15" t="inlineStr">
        <is>
          <t>Mirrorless</t>
        </is>
      </c>
      <c r="R17" s="15" t="inlineStr">
        <is>
          <t>Ultra-wide constant F2.8 zoom; no front filter thread (front element curves)</t>
        </is>
      </c>
      <c r="S17" s="15" t="inlineStr">
        <is>
          <t>https://www.sigma-global.com/en/lenses/a019_14_24_28/</t>
        </is>
      </c>
      <c r="T17" s="15" t="inlineStr">
        <is>
          <t>A019</t>
        </is>
      </c>
    </row>
    <row r="18">
      <c r="A18" s="14" t="inlineStr">
        <is>
          <t>14–24mm F2.8 DG HSM</t>
        </is>
      </c>
      <c r="B18" s="14" t="inlineStr">
        <is>
          <t>Art</t>
        </is>
      </c>
      <c r="C18" s="14" t="inlineStr">
        <is>
          <t>Zoom</t>
        </is>
      </c>
      <c r="D18" s="14" t="inlineStr">
        <is>
          <t>Full-frame</t>
        </is>
      </c>
      <c r="E18" s="14" t="inlineStr">
        <is>
          <t>14–24mm</t>
        </is>
      </c>
      <c r="F18" s="14" t="inlineStr">
        <is>
          <t>F2.8</t>
        </is>
      </c>
      <c r="G18" s="14" t="inlineStr">
        <is>
          <t>F22</t>
        </is>
      </c>
      <c r="H18" s="14" t="inlineStr">
        <is>
          <t>17 elements in 12 groups (3 FLD, 4 SLD, 3 aspherical)</t>
        </is>
      </c>
      <c r="I18" s="14" t="inlineStr">
        <is>
          <t>114.2–84.1°</t>
        </is>
      </c>
      <c r="J18" s="14" t="inlineStr">
        <is>
          <t>9 (rounded)</t>
        </is>
      </c>
      <c r="K18" s="14" t="inlineStr">
        <is>
          <t>28cm</t>
        </is>
      </c>
      <c r="L18" s="14" t="inlineStr">
        <is>
          <t>1:5.4</t>
        </is>
      </c>
      <c r="M18" s="14" t="inlineStr">
        <is>
          <t>—</t>
        </is>
      </c>
      <c r="N18" s="14" t="inlineStr">
        <is>
          <t>φ88×121.5mm</t>
        </is>
      </c>
      <c r="O18" s="14" t="inlineStr">
        <is>
          <t>1,150g</t>
        </is>
      </c>
      <c r="P18" s="14" t="inlineStr">
        <is>
          <t>Canon EF, Nikon F, Sigma SA</t>
        </is>
      </c>
      <c r="Q18" s="14" t="inlineStr">
        <is>
          <t>DSLR</t>
        </is>
      </c>
      <c r="R18" s="14" t="inlineStr">
        <is>
          <t>Ultra-wide DSLR zoom; legendary wide-angle coverage</t>
        </is>
      </c>
      <c r="S18" s="14" t="inlineStr">
        <is>
          <t>https://www.sigma-global.com/en/lenses/a018_14_24_28/</t>
        </is>
      </c>
      <c r="T18" s="14" t="inlineStr">
        <is>
          <t>A018</t>
        </is>
      </c>
    </row>
    <row r="19">
      <c r="A19" s="15" t="inlineStr">
        <is>
          <t>17–40mm F1.8 DC</t>
        </is>
      </c>
      <c r="B19" s="15" t="inlineStr">
        <is>
          <t>Art</t>
        </is>
      </c>
      <c r="C19" s="15" t="inlineStr">
        <is>
          <t>Zoom</t>
        </is>
      </c>
      <c r="D19" s="15" t="inlineStr">
        <is>
          <t>APS-C</t>
        </is>
      </c>
      <c r="E19" s="15" t="inlineStr">
        <is>
          <t>17–40mm</t>
        </is>
      </c>
      <c r="F19" s="15" t="inlineStr">
        <is>
          <t>F1.8</t>
        </is>
      </c>
      <c r="G19" s="15" t="inlineStr">
        <is>
          <t>F16</t>
        </is>
      </c>
      <c r="H19" s="15" t="inlineStr">
        <is>
          <t>19 elements in 14 groups</t>
        </is>
      </c>
      <c r="I19" s="15" t="inlineStr">
        <is>
          <t>72.4–36.9° (APS-C)</t>
        </is>
      </c>
      <c r="J19" s="15" t="inlineStr">
        <is>
          <t>9 (rounded)</t>
        </is>
      </c>
      <c r="K19" s="15" t="inlineStr">
        <is>
          <t>30cm</t>
        </is>
      </c>
      <c r="L19" s="15" t="inlineStr">
        <is>
          <t>1:7</t>
        </is>
      </c>
      <c r="M19" s="15" t="inlineStr">
        <is>
          <t>φ82mm</t>
        </is>
      </c>
      <c r="N19" s="15" t="inlineStr">
        <is>
          <t>φ91.2×119.3mm</t>
        </is>
      </c>
      <c r="O19" s="15" t="inlineStr">
        <is>
          <t>970g</t>
        </is>
      </c>
      <c r="P19" s="15" t="inlineStr">
        <is>
          <t>Canon EF, Nikon F, Sigma SA</t>
        </is>
      </c>
      <c r="Q19" s="15" t="inlineStr">
        <is>
          <t>DSLR</t>
        </is>
      </c>
      <c r="R19" s="15" t="inlineStr">
        <is>
          <t>World's first APS-C F1.8 standard zoom; versatile everyday lens</t>
        </is>
      </c>
      <c r="S19" s="15" t="inlineStr">
        <is>
          <t>https://www.sigma-global.com/en/lenses/a025_17_40_18/</t>
        </is>
      </c>
      <c r="T19" s="15" t="inlineStr">
        <is>
          <t>A025</t>
        </is>
      </c>
    </row>
    <row r="20">
      <c r="A20" s="14" t="inlineStr">
        <is>
          <t>24–70mm F2.8 DG OS HSM</t>
        </is>
      </c>
      <c r="B20" s="14" t="inlineStr">
        <is>
          <t>Art</t>
        </is>
      </c>
      <c r="C20" s="14" t="inlineStr">
        <is>
          <t>Zoom</t>
        </is>
      </c>
      <c r="D20" s="14" t="inlineStr">
        <is>
          <t>Full-frame</t>
        </is>
      </c>
      <c r="E20" s="14" t="inlineStr">
        <is>
          <t>24–70mm</t>
        </is>
      </c>
      <c r="F20" s="14" t="inlineStr">
        <is>
          <t>F2.8</t>
        </is>
      </c>
      <c r="G20" s="14" t="inlineStr">
        <is>
          <t>F22</t>
        </is>
      </c>
      <c r="H20" s="14" t="inlineStr">
        <is>
          <t>19 elements in 14 groups (1 FLD, 3 SLD, 3 aspherical)</t>
        </is>
      </c>
      <c r="I20" s="14" t="inlineStr">
        <is>
          <t>84.1–34.3°</t>
        </is>
      </c>
      <c r="J20" s="14" t="inlineStr">
        <is>
          <t>9 (rounded)</t>
        </is>
      </c>
      <c r="K20" s="14" t="inlineStr">
        <is>
          <t>38cm</t>
        </is>
      </c>
      <c r="L20" s="14" t="inlineStr">
        <is>
          <t>1:5.0</t>
        </is>
      </c>
      <c r="M20" s="14" t="inlineStr">
        <is>
          <t>φ82mm</t>
        </is>
      </c>
      <c r="N20" s="14" t="inlineStr">
        <is>
          <t>φ88.6×107.6mm</t>
        </is>
      </c>
      <c r="O20" s="14" t="inlineStr">
        <is>
          <t>1,020g</t>
        </is>
      </c>
      <c r="P20" s="14" t="inlineStr">
        <is>
          <t>Canon EF, Nikon F, Sigma SA</t>
        </is>
      </c>
      <c r="Q20" s="14" t="inlineStr">
        <is>
          <t>DSLR</t>
        </is>
      </c>
      <c r="R20" s="14" t="inlineStr">
        <is>
          <t>Optical stabilization; weather-sealed; professional standard zoom</t>
        </is>
      </c>
      <c r="S20" s="14" t="inlineStr">
        <is>
          <t>https://www.sigma-global.com/en/lenses/a017_24_70_28/</t>
        </is>
      </c>
      <c r="T20" s="14" t="inlineStr">
        <is>
          <t>A017</t>
        </is>
      </c>
    </row>
    <row r="21">
      <c r="A21" s="15" t="inlineStr">
        <is>
          <t>24–70mm F2.8 DG DN II</t>
        </is>
      </c>
      <c r="B21" s="15" t="inlineStr">
        <is>
          <t>Art</t>
        </is>
      </c>
      <c r="C21" s="15" t="inlineStr">
        <is>
          <t>Zoom</t>
        </is>
      </c>
      <c r="D21" s="15" t="inlineStr">
        <is>
          <t>Full-frame</t>
        </is>
      </c>
      <c r="E21" s="15" t="inlineStr">
        <is>
          <t>24–70mm</t>
        </is>
      </c>
      <c r="F21" s="15" t="inlineStr">
        <is>
          <t>F2.8</t>
        </is>
      </c>
      <c r="G21" s="15" t="inlineStr">
        <is>
          <t>F22</t>
        </is>
      </c>
      <c r="H21" s="15" t="inlineStr">
        <is>
          <t>19 elements in 15 groups (1 FLD, 4 SLD, 4 aspherical)</t>
        </is>
      </c>
      <c r="I21" s="15" t="inlineStr">
        <is>
          <t>84.1–34.3°</t>
        </is>
      </c>
      <c r="J21" s="15" t="inlineStr">
        <is>
          <t>11 (rounded)</t>
        </is>
      </c>
      <c r="K21" s="15" t="inlineStr">
        <is>
          <t>21cm</t>
        </is>
      </c>
      <c r="L21" s="15" t="inlineStr">
        <is>
          <t>1:4.6</t>
        </is>
      </c>
      <c r="M21" s="15" t="inlineStr">
        <is>
          <t>φ82mm</t>
        </is>
      </c>
      <c r="N21" s="15" t="inlineStr">
        <is>
          <t>φ87.8×122.5mm (L) / φ88.2×122.9mm (E)</t>
        </is>
      </c>
      <c r="O21" s="15" t="inlineStr">
        <is>
          <t>830g</t>
        </is>
      </c>
      <c r="P21" s="15" t="inlineStr">
        <is>
          <t>L-Mount, Sony E-mount</t>
        </is>
      </c>
      <c r="Q21" s="15" t="inlineStr">
        <is>
          <t>Mirrorless</t>
        </is>
      </c>
      <c r="R21" s="15" t="inlineStr">
        <is>
          <t>Updated mirrorless standard zoom; lighter and sharper; dual HLA AF</t>
        </is>
      </c>
      <c r="S21" s="15" t="inlineStr">
        <is>
          <t>https://www.sigma-global.com/en/lenses/a024_24_70_28_ii/</t>
        </is>
      </c>
      <c r="T21" s="15" t="inlineStr">
        <is>
          <t>A024</t>
        </is>
      </c>
    </row>
    <row r="22">
      <c r="A22" s="14" t="inlineStr">
        <is>
          <t>24–105mm F4 DG OS HSM</t>
        </is>
      </c>
      <c r="B22" s="14" t="inlineStr">
        <is>
          <t>Art</t>
        </is>
      </c>
      <c r="C22" s="14" t="inlineStr">
        <is>
          <t>Zoom</t>
        </is>
      </c>
      <c r="D22" s="14" t="inlineStr">
        <is>
          <t>Full-frame</t>
        </is>
      </c>
      <c r="E22" s="14" t="inlineStr">
        <is>
          <t>24–105mm</t>
        </is>
      </c>
      <c r="F22" s="14" t="inlineStr">
        <is>
          <t>F4</t>
        </is>
      </c>
      <c r="G22" s="14" t="inlineStr">
        <is>
          <t>F22</t>
        </is>
      </c>
      <c r="H22" s="14" t="inlineStr">
        <is>
          <t>19 elements in 14 groups (2 FLD, 2 SLD, 3 aspherical)</t>
        </is>
      </c>
      <c r="I22" s="14" t="inlineStr">
        <is>
          <t>84.1–23.3°</t>
        </is>
      </c>
      <c r="J22" s="14" t="inlineStr">
        <is>
          <t>9 (rounded)</t>
        </is>
      </c>
      <c r="K22" s="14" t="inlineStr">
        <is>
          <t>45cm</t>
        </is>
      </c>
      <c r="L22" s="14" t="inlineStr">
        <is>
          <t>1:4.6</t>
        </is>
      </c>
      <c r="M22" s="14" t="inlineStr">
        <is>
          <t>φ82mm</t>
        </is>
      </c>
      <c r="N22" s="14" t="inlineStr">
        <is>
          <t>φ88.6×109.4mm</t>
        </is>
      </c>
      <c r="O22" s="14" t="inlineStr">
        <is>
          <t>885g</t>
        </is>
      </c>
      <c r="P22" s="14" t="inlineStr">
        <is>
          <t>Canon EF, Nikon F, Sigma SA</t>
        </is>
      </c>
      <c r="Q22" s="14" t="inlineStr">
        <is>
          <t>DSLR</t>
        </is>
      </c>
      <c r="R22" s="14" t="inlineStr">
        <is>
          <t>Versatile travel zoom with OS; excellent image quality throughout range</t>
        </is>
      </c>
      <c r="S22" s="14" t="inlineStr">
        <is>
          <t>https://www.sigma-global.com/en/lenses/a013_24_105_4/</t>
        </is>
      </c>
      <c r="T22" s="14" t="inlineStr">
        <is>
          <t>A013</t>
        </is>
      </c>
    </row>
    <row r="23">
      <c r="A23" s="15" t="inlineStr">
        <is>
          <t>28–45mm F1.8 DG DN</t>
        </is>
      </c>
      <c r="B23" s="15" t="inlineStr">
        <is>
          <t>Art</t>
        </is>
      </c>
      <c r="C23" s="15" t="inlineStr">
        <is>
          <t>Zoom</t>
        </is>
      </c>
      <c r="D23" s="15" t="inlineStr">
        <is>
          <t>Full-frame</t>
        </is>
      </c>
      <c r="E23" s="15" t="inlineStr">
        <is>
          <t>28–45mm</t>
        </is>
      </c>
      <c r="F23" s="15" t="inlineStr">
        <is>
          <t>F1.8</t>
        </is>
      </c>
      <c r="G23" s="15" t="inlineStr">
        <is>
          <t>F16</t>
        </is>
      </c>
      <c r="H23" s="15" t="inlineStr">
        <is>
          <t>20 elements in 16 groups (4 SLD, 2 FLD, 5 aspherical)</t>
        </is>
      </c>
      <c r="I23" s="15" t="inlineStr">
        <is>
          <t>75.4–53.4°</t>
        </is>
      </c>
      <c r="J23" s="15" t="inlineStr">
        <is>
          <t>11 (rounded)</t>
        </is>
      </c>
      <c r="K23" s="15" t="inlineStr">
        <is>
          <t>35cm</t>
        </is>
      </c>
      <c r="L23" s="15" t="inlineStr">
        <is>
          <t>1:6.7</t>
        </is>
      </c>
      <c r="M23" s="15" t="inlineStr">
        <is>
          <t>φ82mm</t>
        </is>
      </c>
      <c r="N23" s="15" t="inlineStr">
        <is>
          <t>φ90.4×123.0mm (L) / φ90.4×124.8mm (E)</t>
        </is>
      </c>
      <c r="O23" s="15" t="inlineStr">
        <is>
          <t>1,030g</t>
        </is>
      </c>
      <c r="P23" s="15" t="inlineStr">
        <is>
          <t>L-Mount, Sony E-mount</t>
        </is>
      </c>
      <c r="Q23" s="15" t="inlineStr">
        <is>
          <t>Mirrorless</t>
        </is>
      </c>
      <c r="R23" s="15" t="inlineStr">
        <is>
          <t>World's first F1.8 full-frame zoom spanning 28–45mm</t>
        </is>
      </c>
      <c r="S23" s="15" t="inlineStr">
        <is>
          <t>https://www.sigma-global.com/en/lenses/a024_28_45_18/</t>
        </is>
      </c>
      <c r="T23" s="15" t="inlineStr">
        <is>
          <t>A024</t>
        </is>
      </c>
    </row>
    <row r="24">
      <c r="A24" s="14" t="inlineStr">
        <is>
          <t>28–105mm F2.8 DG DN</t>
        </is>
      </c>
      <c r="B24" s="14" t="inlineStr">
        <is>
          <t>Art</t>
        </is>
      </c>
      <c r="C24" s="14" t="inlineStr">
        <is>
          <t>Zoom</t>
        </is>
      </c>
      <c r="D24" s="14" t="inlineStr">
        <is>
          <t>Full-frame</t>
        </is>
      </c>
      <c r="E24" s="14" t="inlineStr">
        <is>
          <t>28–105mm</t>
        </is>
      </c>
      <c r="F24" s="14" t="inlineStr">
        <is>
          <t>F2.8</t>
        </is>
      </c>
      <c r="G24" s="14" t="inlineStr">
        <is>
          <t>F16</t>
        </is>
      </c>
      <c r="H24" s="14" t="inlineStr">
        <is>
          <t>22 elements in 18 groups (4 SLD, 1 FLD, 7 aspherical)</t>
        </is>
      </c>
      <c r="I24" s="14" t="inlineStr">
        <is>
          <t>75.4–23.3°</t>
        </is>
      </c>
      <c r="J24" s="14" t="inlineStr">
        <is>
          <t>11 (rounded)</t>
        </is>
      </c>
      <c r="K24" s="14" t="inlineStr">
        <is>
          <t>30cm</t>
        </is>
      </c>
      <c r="L24" s="14" t="inlineStr">
        <is>
          <t>1:3.0</t>
        </is>
      </c>
      <c r="M24" s="14" t="inlineStr">
        <is>
          <t>φ82mm</t>
        </is>
      </c>
      <c r="N24" s="14" t="inlineStr">
        <is>
          <t>φ90.6×143.6mm (L) / φ90.6×145.4mm (E)</t>
        </is>
      </c>
      <c r="O24" s="14" t="inlineStr">
        <is>
          <t>1,265g</t>
        </is>
      </c>
      <c r="P24" s="14" t="inlineStr">
        <is>
          <t>L-Mount, Sony E-mount</t>
        </is>
      </c>
      <c r="Q24" s="14" t="inlineStr">
        <is>
          <t>Mirrorless</t>
        </is>
      </c>
      <c r="R24" s="14" t="inlineStr">
        <is>
          <t>Unprecedented F2.8 range 28–105mm; covers wide to short telephoto</t>
        </is>
      </c>
      <c r="S24" s="14" t="inlineStr">
        <is>
          <t>https://www.sigma-global.com/en/lenses/a024_28_105_28/</t>
        </is>
      </c>
      <c r="T24" s="14" t="inlineStr">
        <is>
          <t>A024</t>
        </is>
      </c>
    </row>
    <row r="25">
      <c r="A25" s="15" t="inlineStr">
        <is>
          <t>50–100mm F1.8 DC HSM</t>
        </is>
      </c>
      <c r="B25" s="15" t="inlineStr">
        <is>
          <t>Art</t>
        </is>
      </c>
      <c r="C25" s="15" t="inlineStr">
        <is>
          <t>Zoom</t>
        </is>
      </c>
      <c r="D25" s="15" t="inlineStr">
        <is>
          <t>APS-C</t>
        </is>
      </c>
      <c r="E25" s="15" t="inlineStr">
        <is>
          <t>50–100mm</t>
        </is>
      </c>
      <c r="F25" s="15" t="inlineStr">
        <is>
          <t>F1.8</t>
        </is>
      </c>
      <c r="G25" s="15" t="inlineStr">
        <is>
          <t>F16</t>
        </is>
      </c>
      <c r="H25" s="15" t="inlineStr">
        <is>
          <t>22 elements in 18 groups (1 FLD, 5 SLD, 2 aspherical)</t>
        </is>
      </c>
      <c r="I25" s="15" t="inlineStr">
        <is>
          <t>30.7–15.6° (APS-C)</t>
        </is>
      </c>
      <c r="J25" s="15" t="inlineStr">
        <is>
          <t>9 (rounded)</t>
        </is>
      </c>
      <c r="K25" s="15" t="inlineStr">
        <is>
          <t>100cm</t>
        </is>
      </c>
      <c r="L25" s="15" t="inlineStr">
        <is>
          <t>1:6.4</t>
        </is>
      </c>
      <c r="M25" s="15" t="inlineStr">
        <is>
          <t>φ82mm</t>
        </is>
      </c>
      <c r="N25" s="15" t="inlineStr">
        <is>
          <t>φ96.4×183.4mm</t>
        </is>
      </c>
      <c r="O25" s="15" t="inlineStr">
        <is>
          <t>1,845g</t>
        </is>
      </c>
      <c r="P25" s="15" t="inlineStr">
        <is>
          <t>Canon EF, Nikon F, Sigma SA</t>
        </is>
      </c>
      <c r="Q25" s="15" t="inlineStr">
        <is>
          <t>DSLR</t>
        </is>
      </c>
      <c r="R25" s="15" t="inlineStr">
        <is>
          <t>F1.8 telephoto zoom for APS-C; portrait and sports photography</t>
        </is>
      </c>
      <c r="S25" s="15" t="inlineStr">
        <is>
          <t>https://www.sigma-global.com/en/lenses/a016_50_100_18/</t>
        </is>
      </c>
      <c r="T25" s="15" t="inlineStr">
        <is>
          <t>A016</t>
        </is>
      </c>
    </row>
    <row r="26">
      <c r="A26" s="16" t="inlineStr">
        <is>
          <t>17mm F4 DG</t>
        </is>
      </c>
      <c r="B26" s="16" t="inlineStr">
        <is>
          <t>Contemporary</t>
        </is>
      </c>
      <c r="C26" s="16" t="inlineStr">
        <is>
          <t>Prime</t>
        </is>
      </c>
      <c r="D26" s="16" t="inlineStr">
        <is>
          <t>Full-frame</t>
        </is>
      </c>
      <c r="E26" s="16" t="inlineStr">
        <is>
          <t>17mm</t>
        </is>
      </c>
      <c r="F26" s="16" t="inlineStr">
        <is>
          <t>F4</t>
        </is>
      </c>
      <c r="G26" s="16" t="inlineStr">
        <is>
          <t>F22</t>
        </is>
      </c>
      <c r="H26" s="16" t="inlineStr">
        <is>
          <t>12 elements in 9 groups (3 SLD, 1 aspherical)</t>
        </is>
      </c>
      <c r="I26" s="16" t="inlineStr">
        <is>
          <t>104.3°</t>
        </is>
      </c>
      <c r="J26" s="16" t="inlineStr">
        <is>
          <t>10 (rounded)</t>
        </is>
      </c>
      <c r="K26" s="16" t="inlineStr">
        <is>
          <t>12cm</t>
        </is>
      </c>
      <c r="L26" s="16" t="inlineStr">
        <is>
          <t>1:3.2</t>
        </is>
      </c>
      <c r="M26" s="16" t="inlineStr">
        <is>
          <t>φ55mm</t>
        </is>
      </c>
      <c r="N26" s="16" t="inlineStr">
        <is>
          <t>φ64.8×55.7mm (L) / φ64.8×57.7mm (E)</t>
        </is>
      </c>
      <c r="O26" s="16" t="inlineStr">
        <is>
          <t>225g</t>
        </is>
      </c>
      <c r="P26" s="16" t="inlineStr">
        <is>
          <t>L-Mount, Sony E-mount</t>
        </is>
      </c>
      <c r="Q26" s="16" t="inlineStr">
        <is>
          <t>Mirrorless</t>
        </is>
      </c>
      <c r="R26" s="16" t="inlineStr">
        <is>
          <t>I Series; ultra-compact wide prime; landscape and travel photography</t>
        </is>
      </c>
      <c r="S26" s="16" t="inlineStr">
        <is>
          <t>https://www.sigma-global.com/en/lenses/c023_17_4_re/</t>
        </is>
      </c>
      <c r="T26" s="16" t="inlineStr">
        <is>
          <t>C023</t>
        </is>
      </c>
    </row>
    <row r="27">
      <c r="A27" s="17" t="inlineStr">
        <is>
          <t>20mm F2 DG</t>
        </is>
      </c>
      <c r="B27" s="17" t="inlineStr">
        <is>
          <t>Contemporary</t>
        </is>
      </c>
      <c r="C27" s="17" t="inlineStr">
        <is>
          <t>Prime</t>
        </is>
      </c>
      <c r="D27" s="17" t="inlineStr">
        <is>
          <t>Full-frame</t>
        </is>
      </c>
      <c r="E27" s="17" t="inlineStr">
        <is>
          <t>20mm</t>
        </is>
      </c>
      <c r="F27" s="17" t="inlineStr">
        <is>
          <t>F2</t>
        </is>
      </c>
      <c r="G27" s="17" t="inlineStr">
        <is>
          <t>F22</t>
        </is>
      </c>
      <c r="H27" s="17" t="inlineStr">
        <is>
          <t>12 elements in 11 groups (2 SLD, 2 aspherical)</t>
        </is>
      </c>
      <c r="I27" s="17" t="inlineStr">
        <is>
          <t>94.5°</t>
        </is>
      </c>
      <c r="J27" s="17" t="inlineStr">
        <is>
          <t>11 (rounded)</t>
        </is>
      </c>
      <c r="K27" s="17" t="inlineStr">
        <is>
          <t>22cm</t>
        </is>
      </c>
      <c r="L27" s="17" t="inlineStr">
        <is>
          <t>1:5.5</t>
        </is>
      </c>
      <c r="M27" s="17" t="inlineStr">
        <is>
          <t>φ67mm</t>
        </is>
      </c>
      <c r="N27" s="17" t="inlineStr">
        <is>
          <t>φ72.2×70.0mm (L) / φ72.2×72.0mm (E)</t>
        </is>
      </c>
      <c r="O27" s="17" t="inlineStr">
        <is>
          <t>370g</t>
        </is>
      </c>
      <c r="P27" s="17" t="inlineStr">
        <is>
          <t>L-Mount, Sony E-mount</t>
        </is>
      </c>
      <c r="Q27" s="17" t="inlineStr">
        <is>
          <t>Mirrorless</t>
        </is>
      </c>
      <c r="R27" s="17" t="inlineStr">
        <is>
          <t>I Series; wide prime for landscape and architecture photography</t>
        </is>
      </c>
      <c r="S27" s="17" t="inlineStr">
        <is>
          <t>https://www.sigma-global.com/en/lenses/c022_20_2_re/</t>
        </is>
      </c>
      <c r="T27" s="17" t="inlineStr">
        <is>
          <t>C022</t>
        </is>
      </c>
    </row>
    <row r="28">
      <c r="A28" s="16" t="inlineStr">
        <is>
          <t>24mm F2 DG</t>
        </is>
      </c>
      <c r="B28" s="16" t="inlineStr">
        <is>
          <t>Contemporary</t>
        </is>
      </c>
      <c r="C28" s="16" t="inlineStr">
        <is>
          <t>Prime</t>
        </is>
      </c>
      <c r="D28" s="16" t="inlineStr">
        <is>
          <t>Full-frame</t>
        </is>
      </c>
      <c r="E28" s="16" t="inlineStr">
        <is>
          <t>24mm</t>
        </is>
      </c>
      <c r="F28" s="16" t="inlineStr">
        <is>
          <t>F2</t>
        </is>
      </c>
      <c r="G28" s="16" t="inlineStr">
        <is>
          <t>F22</t>
        </is>
      </c>
      <c r="H28" s="16" t="inlineStr">
        <is>
          <t>13 elements in 11 groups (3 SLD, 2 aspherical)</t>
        </is>
      </c>
      <c r="I28" s="16" t="inlineStr">
        <is>
          <t>84.1°</t>
        </is>
      </c>
      <c r="J28" s="16" t="inlineStr">
        <is>
          <t>11 (rounded)</t>
        </is>
      </c>
      <c r="K28" s="16" t="inlineStr">
        <is>
          <t>24cm</t>
        </is>
      </c>
      <c r="L28" s="16" t="inlineStr">
        <is>
          <t>1:6.8</t>
        </is>
      </c>
      <c r="M28" s="16" t="inlineStr">
        <is>
          <t>φ62mm</t>
        </is>
      </c>
      <c r="N28" s="16" t="inlineStr">
        <is>
          <t>φ68.8×64.0mm (L) / φ68.8×66.0mm (E)</t>
        </is>
      </c>
      <c r="O28" s="16" t="inlineStr">
        <is>
          <t>325g</t>
        </is>
      </c>
      <c r="P28" s="16" t="inlineStr">
        <is>
          <t>L-Mount, Sony E-mount</t>
        </is>
      </c>
      <c r="Q28" s="16" t="inlineStr">
        <is>
          <t>Mirrorless</t>
        </is>
      </c>
      <c r="R28" s="16" t="inlineStr">
        <is>
          <t>I Series; compact and lightweight wide prime</t>
        </is>
      </c>
      <c r="S28" s="16" t="inlineStr">
        <is>
          <t>https://www.sigma-global.com/en/lenses/c021_24_2_re/</t>
        </is>
      </c>
      <c r="T28" s="16" t="inlineStr">
        <is>
          <t>C021</t>
        </is>
      </c>
    </row>
    <row r="29">
      <c r="A29" s="17" t="inlineStr">
        <is>
          <t>24mm F3.5 DG</t>
        </is>
      </c>
      <c r="B29" s="17" t="inlineStr">
        <is>
          <t>Contemporary</t>
        </is>
      </c>
      <c r="C29" s="17" t="inlineStr">
        <is>
          <t>Prime</t>
        </is>
      </c>
      <c r="D29" s="17" t="inlineStr">
        <is>
          <t>Full-frame</t>
        </is>
      </c>
      <c r="E29" s="17" t="inlineStr">
        <is>
          <t>24mm</t>
        </is>
      </c>
      <c r="F29" s="17" t="inlineStr">
        <is>
          <t>F3.5</t>
        </is>
      </c>
      <c r="G29" s="17" t="inlineStr">
        <is>
          <t>F22</t>
        </is>
      </c>
      <c r="H29" s="17" t="inlineStr">
        <is>
          <t>10 elements in 8 groups (3 SLD, 1 aspherical)</t>
        </is>
      </c>
      <c r="I29" s="17" t="inlineStr">
        <is>
          <t>84.1°</t>
        </is>
      </c>
      <c r="J29" s="17" t="inlineStr">
        <is>
          <t>9 (rounded)</t>
        </is>
      </c>
      <c r="K29" s="17" t="inlineStr">
        <is>
          <t>13.5cm</t>
        </is>
      </c>
      <c r="L29" s="17" t="inlineStr">
        <is>
          <t>1:2</t>
        </is>
      </c>
      <c r="M29" s="17" t="inlineStr">
        <is>
          <t>φ55mm</t>
        </is>
      </c>
      <c r="N29" s="17" t="inlineStr">
        <is>
          <t>φ64.8×55.7mm (L) / φ64.8×57.7mm (E)</t>
        </is>
      </c>
      <c r="O29" s="17" t="inlineStr">
        <is>
          <t>225g</t>
        </is>
      </c>
      <c r="P29" s="17" t="inlineStr">
        <is>
          <t>L-Mount, Sony E-mount</t>
        </is>
      </c>
      <c r="Q29" s="17" t="inlineStr">
        <is>
          <t>Mirrorless</t>
        </is>
      </c>
      <c r="R29" s="17" t="inlineStr">
        <is>
          <t>I Series; close-focus macro-like capability; ultra-compact design</t>
        </is>
      </c>
      <c r="S29" s="17" t="inlineStr">
        <is>
          <t>https://www.sigma-global.com/en/lenses/c021_24_35_re/</t>
        </is>
      </c>
      <c r="T29" s="17" t="inlineStr">
        <is>
          <t>C021</t>
        </is>
      </c>
    </row>
    <row r="30">
      <c r="A30" s="16" t="inlineStr">
        <is>
          <t>35mm F2 DG</t>
        </is>
      </c>
      <c r="B30" s="16" t="inlineStr">
        <is>
          <t>Contemporary</t>
        </is>
      </c>
      <c r="C30" s="16" t="inlineStr">
        <is>
          <t>Prime</t>
        </is>
      </c>
      <c r="D30" s="16" t="inlineStr">
        <is>
          <t>Full-frame</t>
        </is>
      </c>
      <c r="E30" s="16" t="inlineStr">
        <is>
          <t>35mm</t>
        </is>
      </c>
      <c r="F30" s="16" t="inlineStr">
        <is>
          <t>F2</t>
        </is>
      </c>
      <c r="G30" s="16" t="inlineStr">
        <is>
          <t>F22</t>
        </is>
      </c>
      <c r="H30" s="16" t="inlineStr">
        <is>
          <t>9 elements in 8 groups (2 SLD, 2 aspherical)</t>
        </is>
      </c>
      <c r="I30" s="16" t="inlineStr">
        <is>
          <t>63.4°</t>
        </is>
      </c>
      <c r="J30" s="16" t="inlineStr">
        <is>
          <t>11 (rounded)</t>
        </is>
      </c>
      <c r="K30" s="16" t="inlineStr">
        <is>
          <t>27cm</t>
        </is>
      </c>
      <c r="L30" s="16" t="inlineStr">
        <is>
          <t>1:4.6</t>
        </is>
      </c>
      <c r="M30" s="16" t="inlineStr">
        <is>
          <t>φ58mm</t>
        </is>
      </c>
      <c r="N30" s="16" t="inlineStr">
        <is>
          <t>φ64.8×61.4mm (L) / φ64.8×63.4mm (E)</t>
        </is>
      </c>
      <c r="O30" s="16" t="inlineStr">
        <is>
          <t>325g</t>
        </is>
      </c>
      <c r="P30" s="16" t="inlineStr">
        <is>
          <t>L-Mount, Sony E-mount</t>
        </is>
      </c>
      <c r="Q30" s="16" t="inlineStr">
        <is>
          <t>Mirrorless</t>
        </is>
      </c>
      <c r="R30" s="16" t="inlineStr">
        <is>
          <t>I Series; compact walkaround prime; excellent sharpness</t>
        </is>
      </c>
      <c r="S30" s="16" t="inlineStr">
        <is>
          <t>https://www.sigma-global.com/en/lenses/c020_35_2_re/</t>
        </is>
      </c>
      <c r="T30" s="16" t="inlineStr">
        <is>
          <t>C020</t>
        </is>
      </c>
    </row>
    <row r="31">
      <c r="A31" s="17" t="inlineStr">
        <is>
          <t>45mm F2.8 DG</t>
        </is>
      </c>
      <c r="B31" s="17" t="inlineStr">
        <is>
          <t>Contemporary</t>
        </is>
      </c>
      <c r="C31" s="17" t="inlineStr">
        <is>
          <t>Prime</t>
        </is>
      </c>
      <c r="D31" s="17" t="inlineStr">
        <is>
          <t>Full-frame</t>
        </is>
      </c>
      <c r="E31" s="17" t="inlineStr">
        <is>
          <t>45mm</t>
        </is>
      </c>
      <c r="F31" s="17" t="inlineStr">
        <is>
          <t>F2.8</t>
        </is>
      </c>
      <c r="G31" s="17" t="inlineStr">
        <is>
          <t>F22</t>
        </is>
      </c>
      <c r="H31" s="17" t="inlineStr">
        <is>
          <t>7 elements in 6 groups (1 SLD, 2 aspherical)</t>
        </is>
      </c>
      <c r="I31" s="17" t="inlineStr">
        <is>
          <t>52.2°</t>
        </is>
      </c>
      <c r="J31" s="17" t="inlineStr">
        <is>
          <t>7 (rounded)</t>
        </is>
      </c>
      <c r="K31" s="17" t="inlineStr">
        <is>
          <t>24cm</t>
        </is>
      </c>
      <c r="L31" s="17" t="inlineStr">
        <is>
          <t>1:3.2</t>
        </is>
      </c>
      <c r="M31" s="17" t="inlineStr">
        <is>
          <t>φ55mm</t>
        </is>
      </c>
      <c r="N31" s="17" t="inlineStr">
        <is>
          <t>φ64.0×46.2mm (L) / φ64.0×48.2mm (E)</t>
        </is>
      </c>
      <c r="O31" s="17" t="inlineStr">
        <is>
          <t>215g</t>
        </is>
      </c>
      <c r="P31" s="17" t="inlineStr">
        <is>
          <t>L-Mount, Sony E-mount</t>
        </is>
      </c>
      <c r="Q31" s="17" t="inlineStr">
        <is>
          <t>Mirrorless</t>
        </is>
      </c>
      <c r="R31" s="17" t="inlineStr">
        <is>
          <t>I Series; ultra-compact normal prime; smallest in the series</t>
        </is>
      </c>
      <c r="S31" s="17" t="inlineStr">
        <is>
          <t>https://www.sigma-global.com/en/lenses/c019_45_28_re/</t>
        </is>
      </c>
      <c r="T31" s="17" t="inlineStr">
        <is>
          <t>C019</t>
        </is>
      </c>
    </row>
    <row r="32">
      <c r="A32" s="16" t="inlineStr">
        <is>
          <t>50mm F2 DG</t>
        </is>
      </c>
      <c r="B32" s="16" t="inlineStr">
        <is>
          <t>Contemporary</t>
        </is>
      </c>
      <c r="C32" s="16" t="inlineStr">
        <is>
          <t>Prime</t>
        </is>
      </c>
      <c r="D32" s="16" t="inlineStr">
        <is>
          <t>Full-frame</t>
        </is>
      </c>
      <c r="E32" s="16" t="inlineStr">
        <is>
          <t>50mm</t>
        </is>
      </c>
      <c r="F32" s="16" t="inlineStr">
        <is>
          <t>F2</t>
        </is>
      </c>
      <c r="G32" s="16" t="inlineStr">
        <is>
          <t>F22</t>
        </is>
      </c>
      <c r="H32" s="16" t="inlineStr">
        <is>
          <t>10 elements in 9 groups (2 SLD, 2 aspherical)</t>
        </is>
      </c>
      <c r="I32" s="16" t="inlineStr">
        <is>
          <t>47.0°</t>
        </is>
      </c>
      <c r="J32" s="16" t="inlineStr">
        <is>
          <t>11 (rounded)</t>
        </is>
      </c>
      <c r="K32" s="16" t="inlineStr">
        <is>
          <t>45cm</t>
        </is>
      </c>
      <c r="L32" s="16" t="inlineStr">
        <is>
          <t>1:7.5</t>
        </is>
      </c>
      <c r="M32" s="16" t="inlineStr">
        <is>
          <t>φ58mm</t>
        </is>
      </c>
      <c r="N32" s="16" t="inlineStr">
        <is>
          <t>φ66.4×68.0mm (L) / φ66.4×70.0mm (E)</t>
        </is>
      </c>
      <c r="O32" s="16" t="inlineStr">
        <is>
          <t>350g</t>
        </is>
      </c>
      <c r="P32" s="16" t="inlineStr">
        <is>
          <t>L-Mount, Sony E-mount</t>
        </is>
      </c>
      <c r="Q32" s="16" t="inlineStr">
        <is>
          <t>Mirrorless</t>
        </is>
      </c>
      <c r="R32" s="16" t="inlineStr">
        <is>
          <t>I Series; standard prime; bokeh-rich with elegant build</t>
        </is>
      </c>
      <c r="S32" s="16" t="inlineStr">
        <is>
          <t>https://www.sigma-global.com/en/lenses/c023_50_2_re/</t>
        </is>
      </c>
      <c r="T32" s="16" t="inlineStr">
        <is>
          <t>C023</t>
        </is>
      </c>
    </row>
    <row r="33">
      <c r="A33" s="17" t="inlineStr">
        <is>
          <t>65mm F2 DG</t>
        </is>
      </c>
      <c r="B33" s="17" t="inlineStr">
        <is>
          <t>Contemporary</t>
        </is>
      </c>
      <c r="C33" s="17" t="inlineStr">
        <is>
          <t>Prime</t>
        </is>
      </c>
      <c r="D33" s="17" t="inlineStr">
        <is>
          <t>Full-frame</t>
        </is>
      </c>
      <c r="E33" s="17" t="inlineStr">
        <is>
          <t>65mm</t>
        </is>
      </c>
      <c r="F33" s="17" t="inlineStr">
        <is>
          <t>F2</t>
        </is>
      </c>
      <c r="G33" s="17" t="inlineStr">
        <is>
          <t>F22</t>
        </is>
      </c>
      <c r="H33" s="17" t="inlineStr">
        <is>
          <t>12 elements in 10 groups (3 SLD, 3 aspherical)</t>
        </is>
      </c>
      <c r="I33" s="17" t="inlineStr">
        <is>
          <t>38.6°</t>
        </is>
      </c>
      <c r="J33" s="17" t="inlineStr">
        <is>
          <t>9 (rounded)</t>
        </is>
      </c>
      <c r="K33" s="17" t="inlineStr">
        <is>
          <t>55cm</t>
        </is>
      </c>
      <c r="L33" s="17" t="inlineStr">
        <is>
          <t>1:6.8</t>
        </is>
      </c>
      <c r="M33" s="17" t="inlineStr">
        <is>
          <t>φ62mm</t>
        </is>
      </c>
      <c r="N33" s="17" t="inlineStr">
        <is>
          <t>φ72.2×76.9mm (L) / φ72.2×78.9mm (E)</t>
        </is>
      </c>
      <c r="O33" s="17" t="inlineStr">
        <is>
          <t>405g</t>
        </is>
      </c>
      <c r="P33" s="17" t="inlineStr">
        <is>
          <t>L-Mount, Sony E-mount</t>
        </is>
      </c>
      <c r="Q33" s="17" t="inlineStr">
        <is>
          <t>Mirrorless</t>
        </is>
      </c>
      <c r="R33" s="17" t="inlineStr">
        <is>
          <t>I Series; short telephoto portrait prime with beautiful rendering</t>
        </is>
      </c>
      <c r="S33" s="17" t="inlineStr">
        <is>
          <t>https://www.sigma-global.com/en/lenses/c020_65_2_re/</t>
        </is>
      </c>
      <c r="T33" s="17" t="inlineStr">
        <is>
          <t>C020</t>
        </is>
      </c>
    </row>
    <row r="34">
      <c r="A34" s="16" t="inlineStr">
        <is>
          <t>90mm F2.8 DG</t>
        </is>
      </c>
      <c r="B34" s="16" t="inlineStr">
        <is>
          <t>Contemporary</t>
        </is>
      </c>
      <c r="C34" s="16" t="inlineStr">
        <is>
          <t>Prime</t>
        </is>
      </c>
      <c r="D34" s="16" t="inlineStr">
        <is>
          <t>Full-frame</t>
        </is>
      </c>
      <c r="E34" s="16" t="inlineStr">
        <is>
          <t>90mm</t>
        </is>
      </c>
      <c r="F34" s="16" t="inlineStr">
        <is>
          <t>F2.8</t>
        </is>
      </c>
      <c r="G34" s="16" t="inlineStr">
        <is>
          <t>F22</t>
        </is>
      </c>
      <c r="H34" s="16" t="inlineStr">
        <is>
          <t>11 elements in 9 groups (4 SLD, 2 aspherical)</t>
        </is>
      </c>
      <c r="I34" s="16" t="inlineStr">
        <is>
          <t>27.2°</t>
        </is>
      </c>
      <c r="J34" s="16" t="inlineStr">
        <is>
          <t>11 (rounded)</t>
        </is>
      </c>
      <c r="K34" s="16" t="inlineStr">
        <is>
          <t>50cm</t>
        </is>
      </c>
      <c r="L34" s="16" t="inlineStr">
        <is>
          <t>1:3</t>
        </is>
      </c>
      <c r="M34" s="16" t="inlineStr">
        <is>
          <t>φ55mm</t>
        </is>
      </c>
      <c r="N34" s="16" t="inlineStr">
        <is>
          <t>φ64.8×71.2mm (L) / φ64.8×73.2mm (E)</t>
        </is>
      </c>
      <c r="O34" s="16" t="inlineStr">
        <is>
          <t>295g</t>
        </is>
      </c>
      <c r="P34" s="16" t="inlineStr">
        <is>
          <t>L-Mount, Sony E-mount</t>
        </is>
      </c>
      <c r="Q34" s="16" t="inlineStr">
        <is>
          <t>Mirrorless</t>
        </is>
      </c>
      <c r="R34" s="16" t="inlineStr">
        <is>
          <t>I Series; compact telephoto prime; close-focus capability</t>
        </is>
      </c>
      <c r="S34" s="16" t="inlineStr">
        <is>
          <t>https://www.sigma-global.com/en/lenses/c021_90_28_re/</t>
        </is>
      </c>
      <c r="T34" s="16" t="inlineStr">
        <is>
          <t>C021</t>
        </is>
      </c>
    </row>
    <row r="35">
      <c r="A35" s="17" t="inlineStr">
        <is>
          <t>12mm F1.4 DC</t>
        </is>
      </c>
      <c r="B35" s="17" t="inlineStr">
        <is>
          <t>Contemporary</t>
        </is>
      </c>
      <c r="C35" s="17" t="inlineStr">
        <is>
          <t>Prime</t>
        </is>
      </c>
      <c r="D35" s="17" t="inlineStr">
        <is>
          <t>APS-C</t>
        </is>
      </c>
      <c r="E35" s="17" t="inlineStr">
        <is>
          <t>12mm</t>
        </is>
      </c>
      <c r="F35" s="17" t="inlineStr">
        <is>
          <t>F1.4</t>
        </is>
      </c>
      <c r="G35" s="17" t="inlineStr">
        <is>
          <t>F16</t>
        </is>
      </c>
      <c r="H35" s="17" t="inlineStr">
        <is>
          <t>13 elements in 9 groups</t>
        </is>
      </c>
      <c r="I35" s="17" t="inlineStr">
        <is>
          <t>86.8° (APS-C)</t>
        </is>
      </c>
      <c r="J35" s="17" t="inlineStr">
        <is>
          <t>9 (rounded)</t>
        </is>
      </c>
      <c r="K35" s="17" t="inlineStr">
        <is>
          <t>18cm</t>
        </is>
      </c>
      <c r="L35" s="17" t="inlineStr">
        <is>
          <t>1:6</t>
        </is>
      </c>
      <c r="M35" s="17" t="inlineStr">
        <is>
          <t>φ72mm</t>
        </is>
      </c>
      <c r="N35" s="17" t="inlineStr">
        <is>
          <t>φ80.0×87.1mm</t>
        </is>
      </c>
      <c r="O35" s="17" t="inlineStr">
        <is>
          <t>490g</t>
        </is>
      </c>
      <c r="P35" s="17" t="inlineStr">
        <is>
          <t>Canon EF-M, FUJIFILM X, L-Mount, MFT, Nikon Z, Sony E</t>
        </is>
      </c>
      <c r="Q35" s="17" t="inlineStr">
        <is>
          <t>Mirrorless</t>
        </is>
      </c>
      <c r="R35" s="17" t="inlineStr">
        <is>
          <t>World's widest F1.4 for APS-C; low-light wide-angle photography</t>
        </is>
      </c>
      <c r="S35" s="17" t="inlineStr">
        <is>
          <t>https://www.sigma-global.com/en/lenses/c025_12_14/</t>
        </is>
      </c>
      <c r="T35" s="17" t="inlineStr">
        <is>
          <t>C025</t>
        </is>
      </c>
    </row>
    <row r="36">
      <c r="A36" s="16" t="inlineStr">
        <is>
          <t>15mm F1.4 DC</t>
        </is>
      </c>
      <c r="B36" s="16" t="inlineStr">
        <is>
          <t>Contemporary</t>
        </is>
      </c>
      <c r="C36" s="16" t="inlineStr">
        <is>
          <t>Prime</t>
        </is>
      </c>
      <c r="D36" s="16" t="inlineStr">
        <is>
          <t>APS-C</t>
        </is>
      </c>
      <c r="E36" s="16" t="inlineStr">
        <is>
          <t>15mm</t>
        </is>
      </c>
      <c r="F36" s="16" t="inlineStr">
        <is>
          <t>F1.4</t>
        </is>
      </c>
      <c r="G36" s="16" t="inlineStr">
        <is>
          <t>F16</t>
        </is>
      </c>
      <c r="H36" s="16" t="inlineStr">
        <is>
          <t>14 elements in 10 groups</t>
        </is>
      </c>
      <c r="I36" s="16" t="inlineStr">
        <is>
          <t>71.2° (APS-C)</t>
        </is>
      </c>
      <c r="J36" s="16" t="inlineStr">
        <is>
          <t>9 (rounded)</t>
        </is>
      </c>
      <c r="K36" s="16" t="inlineStr">
        <is>
          <t>18cm</t>
        </is>
      </c>
      <c r="L36" s="16" t="inlineStr">
        <is>
          <t>1:7</t>
        </is>
      </c>
      <c r="M36" s="16" t="inlineStr">
        <is>
          <t>φ67mm</t>
        </is>
      </c>
      <c r="N36" s="16" t="inlineStr">
        <is>
          <t>φ76.0×87.8mm</t>
        </is>
      </c>
      <c r="O36" s="16" t="inlineStr">
        <is>
          <t>445g</t>
        </is>
      </c>
      <c r="P36" s="16" t="inlineStr">
        <is>
          <t>Canon EF-M, FUJIFILM X, L-Mount, MFT, Nikon Z, Sony E</t>
        </is>
      </c>
      <c r="Q36" s="16" t="inlineStr">
        <is>
          <t>Mirrorless</t>
        </is>
      </c>
      <c r="R36" s="16" t="inlineStr">
        <is>
          <t>New APS-C F1.4 wide prime; ideal for astro and street photography</t>
        </is>
      </c>
      <c r="S36" s="16" t="inlineStr">
        <is>
          <t>https://www.sigma-global.com/en/lenses/c026_15_14/</t>
        </is>
      </c>
      <c r="T36" s="16" t="inlineStr">
        <is>
          <t>C026</t>
        </is>
      </c>
    </row>
    <row r="37">
      <c r="A37" s="17" t="inlineStr">
        <is>
          <t>16mm F1.4 DC DN</t>
        </is>
      </c>
      <c r="B37" s="17" t="inlineStr">
        <is>
          <t>Contemporary</t>
        </is>
      </c>
      <c r="C37" s="17" t="inlineStr">
        <is>
          <t>Prime</t>
        </is>
      </c>
      <c r="D37" s="17" t="inlineStr">
        <is>
          <t>APS-C</t>
        </is>
      </c>
      <c r="E37" s="17" t="inlineStr">
        <is>
          <t>16mm</t>
        </is>
      </c>
      <c r="F37" s="17" t="inlineStr">
        <is>
          <t>F1.4</t>
        </is>
      </c>
      <c r="G37" s="17" t="inlineStr">
        <is>
          <t>F16</t>
        </is>
      </c>
      <c r="H37" s="17" t="inlineStr">
        <is>
          <t>16 elements in 13 groups (1 FLD, 3 SLD, 2 aspherical)</t>
        </is>
      </c>
      <c r="I37" s="17" t="inlineStr">
        <is>
          <t>83.2° (APS-C)</t>
        </is>
      </c>
      <c r="J37" s="17" t="inlineStr">
        <is>
          <t>9 (rounded)</t>
        </is>
      </c>
      <c r="K37" s="17" t="inlineStr">
        <is>
          <t>25cm</t>
        </is>
      </c>
      <c r="L37" s="17" t="inlineStr">
        <is>
          <t>1:10</t>
        </is>
      </c>
      <c r="M37" s="17" t="inlineStr">
        <is>
          <t>φ67mm</t>
        </is>
      </c>
      <c r="N37" s="17" t="inlineStr">
        <is>
          <t>φ72.2×92.3mm</t>
        </is>
      </c>
      <c r="O37" s="17" t="inlineStr">
        <is>
          <t>405g</t>
        </is>
      </c>
      <c r="P37" s="17" t="inlineStr">
        <is>
          <t>Canon EF-M, L-Mount, MFT, Sony E, FUJIFILM X, Nikon Z</t>
        </is>
      </c>
      <c r="Q37" s="17" t="inlineStr">
        <is>
          <t>Mirrorless</t>
        </is>
      </c>
      <c r="R37" s="17" t="inlineStr">
        <is>
          <t>Popular APS-C wide prime; versatile for vlogging and street photography</t>
        </is>
      </c>
      <c r="S37" s="17" t="inlineStr">
        <is>
          <t>https://www.sigma-global.com/en/lenses/c017_16_14/</t>
        </is>
      </c>
      <c r="T37" s="17" t="inlineStr">
        <is>
          <t>C017</t>
        </is>
      </c>
    </row>
    <row r="38">
      <c r="A38" s="16" t="inlineStr">
        <is>
          <t>23mm F1.4 DC DN</t>
        </is>
      </c>
      <c r="B38" s="16" t="inlineStr">
        <is>
          <t>Contemporary</t>
        </is>
      </c>
      <c r="C38" s="16" t="inlineStr">
        <is>
          <t>Prime</t>
        </is>
      </c>
      <c r="D38" s="16" t="inlineStr">
        <is>
          <t>APS-C</t>
        </is>
      </c>
      <c r="E38" s="16" t="inlineStr">
        <is>
          <t>23mm</t>
        </is>
      </c>
      <c r="F38" s="16" t="inlineStr">
        <is>
          <t>F1.4</t>
        </is>
      </c>
      <c r="G38" s="16" t="inlineStr">
        <is>
          <t>F16</t>
        </is>
      </c>
      <c r="H38" s="16" t="inlineStr">
        <is>
          <t>12 elements in 9 groups (1 FLD, 3 SLD, 1 aspherical)</t>
        </is>
      </c>
      <c r="I38" s="16" t="inlineStr">
        <is>
          <t>65.0° (APS-C)</t>
        </is>
      </c>
      <c r="J38" s="16" t="inlineStr">
        <is>
          <t>9 (rounded)</t>
        </is>
      </c>
      <c r="K38" s="16" t="inlineStr">
        <is>
          <t>25cm</t>
        </is>
      </c>
      <c r="L38" s="16" t="inlineStr">
        <is>
          <t>1:8.3</t>
        </is>
      </c>
      <c r="M38" s="16" t="inlineStr">
        <is>
          <t>φ55mm</t>
        </is>
      </c>
      <c r="N38" s="16" t="inlineStr">
        <is>
          <t>φ64.8×74.7mm</t>
        </is>
      </c>
      <c r="O38" s="16" t="inlineStr">
        <is>
          <t>335g</t>
        </is>
      </c>
      <c r="P38" s="16" t="inlineStr">
        <is>
          <t>Canon EF-M, L-Mount, MFT, Sony E, FUJIFILM X, Nikon Z</t>
        </is>
      </c>
      <c r="Q38" s="16" t="inlineStr">
        <is>
          <t>Mirrorless</t>
        </is>
      </c>
      <c r="R38" s="16" t="inlineStr">
        <is>
          <t>Compact APS-C normal-wide prime; everyday shooting prime</t>
        </is>
      </c>
      <c r="S38" s="16" t="inlineStr">
        <is>
          <t>https://www.sigma-global.com/en/lenses/c023_23_14/</t>
        </is>
      </c>
      <c r="T38" s="16" t="inlineStr">
        <is>
          <t>C023</t>
        </is>
      </c>
    </row>
    <row r="39">
      <c r="A39" s="17" t="inlineStr">
        <is>
          <t>30mm F1.4 DC DN</t>
        </is>
      </c>
      <c r="B39" s="17" t="inlineStr">
        <is>
          <t>Contemporary</t>
        </is>
      </c>
      <c r="C39" s="17" t="inlineStr">
        <is>
          <t>Prime</t>
        </is>
      </c>
      <c r="D39" s="17" t="inlineStr">
        <is>
          <t>APS-C</t>
        </is>
      </c>
      <c r="E39" s="17" t="inlineStr">
        <is>
          <t>30mm</t>
        </is>
      </c>
      <c r="F39" s="17" t="inlineStr">
        <is>
          <t>F1.4</t>
        </is>
      </c>
      <c r="G39" s="17" t="inlineStr">
        <is>
          <t>F16</t>
        </is>
      </c>
      <c r="H39" s="17" t="inlineStr">
        <is>
          <t>9 elements in 7 groups (3 SLD, 1 aspherical)</t>
        </is>
      </c>
      <c r="I39" s="17" t="inlineStr">
        <is>
          <t>51.5° (APS-C)</t>
        </is>
      </c>
      <c r="J39" s="17" t="inlineStr">
        <is>
          <t>9 (rounded)</t>
        </is>
      </c>
      <c r="K39" s="17" t="inlineStr">
        <is>
          <t>30cm</t>
        </is>
      </c>
      <c r="L39" s="17" t="inlineStr">
        <is>
          <t>1:7.7</t>
        </is>
      </c>
      <c r="M39" s="17" t="inlineStr">
        <is>
          <t>φ52mm</t>
        </is>
      </c>
      <c r="N39" s="17" t="inlineStr">
        <is>
          <t>φ60.0×73.3mm</t>
        </is>
      </c>
      <c r="O39" s="17" t="inlineStr">
        <is>
          <t>265g</t>
        </is>
      </c>
      <c r="P39" s="17" t="inlineStr">
        <is>
          <t>Canon EF-M, L-Mount, MFT, Sony E, FUJIFILM X, Nikon Z</t>
        </is>
      </c>
      <c r="Q39" s="17" t="inlineStr">
        <is>
          <t>Mirrorless</t>
        </is>
      </c>
      <c r="R39" s="17" t="inlineStr">
        <is>
          <t>Popular walkaround APS-C prime; compact and affordable</t>
        </is>
      </c>
      <c r="S39" s="17" t="inlineStr">
        <is>
          <t>https://www.sigma-global.com/en/lenses/c016_30_14/</t>
        </is>
      </c>
      <c r="T39" s="17" t="inlineStr">
        <is>
          <t>C016</t>
        </is>
      </c>
    </row>
    <row r="40">
      <c r="A40" s="16" t="inlineStr">
        <is>
          <t>56mm F1.4 DC DN</t>
        </is>
      </c>
      <c r="B40" s="16" t="inlineStr">
        <is>
          <t>Contemporary</t>
        </is>
      </c>
      <c r="C40" s="16" t="inlineStr">
        <is>
          <t>Prime</t>
        </is>
      </c>
      <c r="D40" s="16" t="inlineStr">
        <is>
          <t>APS-C</t>
        </is>
      </c>
      <c r="E40" s="16" t="inlineStr">
        <is>
          <t>56mm</t>
        </is>
      </c>
      <c r="F40" s="16" t="inlineStr">
        <is>
          <t>F1.4</t>
        </is>
      </c>
      <c r="G40" s="16" t="inlineStr">
        <is>
          <t>F16</t>
        </is>
      </c>
      <c r="H40" s="16" t="inlineStr">
        <is>
          <t>10 elements in 6 groups (2 SLD, 2 aspherical)</t>
        </is>
      </c>
      <c r="I40" s="16" t="inlineStr">
        <is>
          <t>29.0° (APS-C)</t>
        </is>
      </c>
      <c r="J40" s="16" t="inlineStr">
        <is>
          <t>9 (rounded)</t>
        </is>
      </c>
      <c r="K40" s="16" t="inlineStr">
        <is>
          <t>50cm</t>
        </is>
      </c>
      <c r="L40" s="16" t="inlineStr">
        <is>
          <t>1:7.4</t>
        </is>
      </c>
      <c r="M40" s="16" t="inlineStr">
        <is>
          <t>φ55mm</t>
        </is>
      </c>
      <c r="N40" s="16" t="inlineStr">
        <is>
          <t>φ64.8×59.5mm</t>
        </is>
      </c>
      <c r="O40" s="16" t="inlineStr">
        <is>
          <t>280g</t>
        </is>
      </c>
      <c r="P40" s="16" t="inlineStr">
        <is>
          <t>Canon EF-M, L-Mount, MFT, Sony E, FUJIFILM X, Nikon Z</t>
        </is>
      </c>
      <c r="Q40" s="16" t="inlineStr">
        <is>
          <t>Mirrorless</t>
        </is>
      </c>
      <c r="R40" s="16" t="inlineStr">
        <is>
          <t>Portrait focal length for APS-C; fast F1.4 for subject isolation</t>
        </is>
      </c>
      <c r="S40" s="16" t="inlineStr">
        <is>
          <t>https://www.sigma-global.com/en/lenses/c018_56_14/</t>
        </is>
      </c>
      <c r="T40" s="16" t="inlineStr">
        <is>
          <t>C018</t>
        </is>
      </c>
    </row>
    <row r="41">
      <c r="A41" s="17" t="inlineStr">
        <is>
          <t>10–18mm F2.8 DC DN</t>
        </is>
      </c>
      <c r="B41" s="17" t="inlineStr">
        <is>
          <t>Contemporary</t>
        </is>
      </c>
      <c r="C41" s="17" t="inlineStr">
        <is>
          <t>Zoom</t>
        </is>
      </c>
      <c r="D41" s="17" t="inlineStr">
        <is>
          <t>APS-C</t>
        </is>
      </c>
      <c r="E41" s="17" t="inlineStr">
        <is>
          <t>10–18mm</t>
        </is>
      </c>
      <c r="F41" s="17" t="inlineStr">
        <is>
          <t>F2.8</t>
        </is>
      </c>
      <c r="G41" s="17" t="inlineStr">
        <is>
          <t>F22</t>
        </is>
      </c>
      <c r="H41" s="17" t="inlineStr">
        <is>
          <t>12 elements in 10 groups (2 FLD, 2 SLD, 2 aspherical)</t>
        </is>
      </c>
      <c r="I41" s="17" t="inlineStr">
        <is>
          <t>109.3–75.6° (APS-C)</t>
        </is>
      </c>
      <c r="J41" s="17" t="inlineStr">
        <is>
          <t>7 (rounded)</t>
        </is>
      </c>
      <c r="K41" s="17" t="inlineStr">
        <is>
          <t>11.6cm</t>
        </is>
      </c>
      <c r="L41" s="17" t="inlineStr">
        <is>
          <t>1:4.5</t>
        </is>
      </c>
      <c r="M41" s="17" t="inlineStr">
        <is>
          <t>φ67mm</t>
        </is>
      </c>
      <c r="N41" s="17" t="inlineStr">
        <is>
          <t>φ72.2×79.8mm</t>
        </is>
      </c>
      <c r="O41" s="17" t="inlineStr">
        <is>
          <t>290g</t>
        </is>
      </c>
      <c r="P41" s="17" t="inlineStr">
        <is>
          <t>Canon EF-M, L-Mount, MFT, Sony E, FUJIFILM X, Nikon Z</t>
        </is>
      </c>
      <c r="Q41" s="17" t="inlineStr">
        <is>
          <t>Mirrorless</t>
        </is>
      </c>
      <c r="R41" s="17" t="inlineStr">
        <is>
          <t>Ultra-wide constant F2.8 APS-C zoom; video and landscape</t>
        </is>
      </c>
      <c r="S41" s="17" t="inlineStr">
        <is>
          <t>https://www.sigma-global.com/en/lenses/c023_10_18_28/</t>
        </is>
      </c>
      <c r="T41" s="17" t="inlineStr">
        <is>
          <t>C023</t>
        </is>
      </c>
    </row>
    <row r="42">
      <c r="A42" s="16" t="inlineStr">
        <is>
          <t>16–28mm F2.8 DG DN</t>
        </is>
      </c>
      <c r="B42" s="16" t="inlineStr">
        <is>
          <t>Contemporary</t>
        </is>
      </c>
      <c r="C42" s="16" t="inlineStr">
        <is>
          <t>Zoom</t>
        </is>
      </c>
      <c r="D42" s="16" t="inlineStr">
        <is>
          <t>Full-frame</t>
        </is>
      </c>
      <c r="E42" s="16" t="inlineStr">
        <is>
          <t>16–28mm</t>
        </is>
      </c>
      <c r="F42" s="16" t="inlineStr">
        <is>
          <t>F2.8</t>
        </is>
      </c>
      <c r="G42" s="16" t="inlineStr">
        <is>
          <t>F22</t>
        </is>
      </c>
      <c r="H42" s="16" t="inlineStr">
        <is>
          <t>13 elements in 11 groups (3 FLD, 3 SLD, 4 aspherical)</t>
        </is>
      </c>
      <c r="I42" s="16" t="inlineStr">
        <is>
          <t>107.6–75.4°</t>
        </is>
      </c>
      <c r="J42" s="16" t="inlineStr">
        <is>
          <t>9 (rounded)</t>
        </is>
      </c>
      <c r="K42" s="16" t="inlineStr">
        <is>
          <t>25cm</t>
        </is>
      </c>
      <c r="L42" s="16" t="inlineStr">
        <is>
          <t>1:6</t>
        </is>
      </c>
      <c r="M42" s="16" t="inlineStr">
        <is>
          <t>—</t>
        </is>
      </c>
      <c r="N42" s="16" t="inlineStr">
        <is>
          <t>φ82.2×103.5mm (L) / φ83.3×102.5mm (E)</t>
        </is>
      </c>
      <c r="O42" s="16" t="inlineStr">
        <is>
          <t>450g</t>
        </is>
      </c>
      <c r="P42" s="16" t="inlineStr">
        <is>
          <t>L-Mount, Sony E-mount</t>
        </is>
      </c>
      <c r="Q42" s="16" t="inlineStr">
        <is>
          <t>Mirrorless</t>
        </is>
      </c>
      <c r="R42" s="16" t="inlineStr">
        <is>
          <t>Compact ultra-wide zoom; no front filter; great value pro zoom</t>
        </is>
      </c>
      <c r="S42" s="16" t="inlineStr">
        <is>
          <t>https://www.sigma-global.com/en/lenses/c022_16_28_28/</t>
        </is>
      </c>
      <c r="T42" s="16" t="inlineStr">
        <is>
          <t>C022</t>
        </is>
      </c>
    </row>
    <row r="43">
      <c r="A43" s="17" t="inlineStr">
        <is>
          <t>18–50mm F2.8 DC DN</t>
        </is>
      </c>
      <c r="B43" s="17" t="inlineStr">
        <is>
          <t>Contemporary</t>
        </is>
      </c>
      <c r="C43" s="17" t="inlineStr">
        <is>
          <t>Zoom</t>
        </is>
      </c>
      <c r="D43" s="17" t="inlineStr">
        <is>
          <t>APS-C</t>
        </is>
      </c>
      <c r="E43" s="17" t="inlineStr">
        <is>
          <t>18–50mm</t>
        </is>
      </c>
      <c r="F43" s="17" t="inlineStr">
        <is>
          <t>F2.8</t>
        </is>
      </c>
      <c r="G43" s="17" t="inlineStr">
        <is>
          <t>F22</t>
        </is>
      </c>
      <c r="H43" s="17" t="inlineStr">
        <is>
          <t>15 elements in 12 groups (3 FLD, 2 SLD, 4 aspherical)</t>
        </is>
      </c>
      <c r="I43" s="17" t="inlineStr">
        <is>
          <t>75.6–31.7° (APS-C)</t>
        </is>
      </c>
      <c r="J43" s="17" t="inlineStr">
        <is>
          <t>7 (rounded)</t>
        </is>
      </c>
      <c r="K43" s="17" t="inlineStr">
        <is>
          <t>12.1cm</t>
        </is>
      </c>
      <c r="L43" s="17" t="inlineStr">
        <is>
          <t>1:2.7</t>
        </is>
      </c>
      <c r="M43" s="17" t="inlineStr">
        <is>
          <t>φ67mm</t>
        </is>
      </c>
      <c r="N43" s="17" t="inlineStr">
        <is>
          <t>φ72.2×76.9mm</t>
        </is>
      </c>
      <c r="O43" s="17" t="inlineStr">
        <is>
          <t>290g</t>
        </is>
      </c>
      <c r="P43" s="17" t="inlineStr">
        <is>
          <t>Canon EF-M, L-Mount, MFT, Sony E, FUJIFILM X, Nikon Z</t>
        </is>
      </c>
      <c r="Q43" s="17" t="inlineStr">
        <is>
          <t>Mirrorless</t>
        </is>
      </c>
      <c r="R43" s="17" t="inlineStr">
        <is>
          <t>Compact F2.8 APS-C standard zoom; ideal for travel and street</t>
        </is>
      </c>
      <c r="S43" s="17" t="inlineStr">
        <is>
          <t>https://www.sigma-global.com/en/lenses/c021_18_50_28/</t>
        </is>
      </c>
      <c r="T43" s="17" t="inlineStr">
        <is>
          <t>C021</t>
        </is>
      </c>
    </row>
    <row r="44">
      <c r="A44" s="16" t="inlineStr">
        <is>
          <t>16–300mm F3.5–6.7 DC OS</t>
        </is>
      </c>
      <c r="B44" s="16" t="inlineStr">
        <is>
          <t>Contemporary</t>
        </is>
      </c>
      <c r="C44" s="16" t="inlineStr">
        <is>
          <t>Zoom</t>
        </is>
      </c>
      <c r="D44" s="16" t="inlineStr">
        <is>
          <t>APS-C</t>
        </is>
      </c>
      <c r="E44" s="16" t="inlineStr">
        <is>
          <t>16–300mm</t>
        </is>
      </c>
      <c r="F44" s="16" t="inlineStr">
        <is>
          <t>F3.5–6.7</t>
        </is>
      </c>
      <c r="G44" s="16" t="inlineStr">
        <is>
          <t>F22</t>
        </is>
      </c>
      <c r="H44" s="16" t="inlineStr">
        <is>
          <t>20 elements in 14 groups</t>
        </is>
      </c>
      <c r="I44" s="16" t="inlineStr">
        <is>
          <t>83.2–5.2° (APS-C)</t>
        </is>
      </c>
      <c r="J44" s="16" t="inlineStr">
        <is>
          <t>7 (rounded)</t>
        </is>
      </c>
      <c r="K44" s="16" t="inlineStr">
        <is>
          <t>15cm</t>
        </is>
      </c>
      <c r="L44" s="16" t="inlineStr">
        <is>
          <t>1:3.8</t>
        </is>
      </c>
      <c r="M44" s="16" t="inlineStr">
        <is>
          <t>φ72mm</t>
        </is>
      </c>
      <c r="N44" s="16" t="inlineStr">
        <is>
          <t>φ79.8×119.5mm</t>
        </is>
      </c>
      <c r="O44" s="16" t="inlineStr">
        <is>
          <t>585g</t>
        </is>
      </c>
      <c r="P44" s="16" t="inlineStr">
        <is>
          <t>Canon EF, Nikon F, Sigma SA</t>
        </is>
      </c>
      <c r="Q44" s="16" t="inlineStr">
        <is>
          <t>DSLR</t>
        </is>
      </c>
      <c r="R44" s="16" t="inlineStr">
        <is>
          <t>High-ratio all-in-one zoom; OIS; great travel companion</t>
        </is>
      </c>
      <c r="S44" s="16" t="inlineStr">
        <is>
          <t>https://www.sigma-global.com/en/lenses/c025_16_300_35_67/</t>
        </is>
      </c>
      <c r="T44" s="16" t="inlineStr">
        <is>
          <t>C025</t>
        </is>
      </c>
    </row>
    <row r="45">
      <c r="A45" s="17" t="inlineStr">
        <is>
          <t>20–200mm F3.5–6.3 DG</t>
        </is>
      </c>
      <c r="B45" s="17" t="inlineStr">
        <is>
          <t>Contemporary</t>
        </is>
      </c>
      <c r="C45" s="17" t="inlineStr">
        <is>
          <t>Zoom</t>
        </is>
      </c>
      <c r="D45" s="17" t="inlineStr">
        <is>
          <t>Full-frame</t>
        </is>
      </c>
      <c r="E45" s="17" t="inlineStr">
        <is>
          <t>20–200mm</t>
        </is>
      </c>
      <c r="F45" s="17" t="inlineStr">
        <is>
          <t>F3.5–6.3</t>
        </is>
      </c>
      <c r="G45" s="17" t="inlineStr">
        <is>
          <t>F22</t>
        </is>
      </c>
      <c r="H45" s="17" t="inlineStr">
        <is>
          <t>17 elements in 13 groups (1 FLD, 4 SLD, 3 aspherical)</t>
        </is>
      </c>
      <c r="I45" s="17" t="inlineStr">
        <is>
          <t>94.5–12.3°</t>
        </is>
      </c>
      <c r="J45" s="17" t="inlineStr">
        <is>
          <t>7 (rounded)</t>
        </is>
      </c>
      <c r="K45" s="17" t="inlineStr">
        <is>
          <t>25cm</t>
        </is>
      </c>
      <c r="L45" s="17" t="inlineStr">
        <is>
          <t>1:4.4</t>
        </is>
      </c>
      <c r="M45" s="17" t="inlineStr">
        <is>
          <t>φ72mm</t>
        </is>
      </c>
      <c r="N45" s="17" t="inlineStr">
        <is>
          <t>φ79.4×128.9mm (L) / φ79.4×131.3mm (E)</t>
        </is>
      </c>
      <c r="O45" s="17" t="inlineStr">
        <is>
          <t>575g</t>
        </is>
      </c>
      <c r="P45" s="17" t="inlineStr">
        <is>
          <t>L-Mount, Sony E-mount</t>
        </is>
      </c>
      <c r="Q45" s="17" t="inlineStr">
        <is>
          <t>Mirrorless</t>
        </is>
      </c>
      <c r="R45" s="17" t="inlineStr">
        <is>
          <t>Compact full-frame superzoom; covers wide to medium telephoto</t>
        </is>
      </c>
      <c r="S45" s="17" t="inlineStr">
        <is>
          <t>https://www.sigma-global.com/en/lenses/c025_20_200_35_63/</t>
        </is>
      </c>
      <c r="T45" s="17" t="inlineStr">
        <is>
          <t>C025</t>
        </is>
      </c>
    </row>
    <row r="46">
      <c r="A46" s="16" t="inlineStr">
        <is>
          <t>28–70mm F2.8 DG DN</t>
        </is>
      </c>
      <c r="B46" s="16" t="inlineStr">
        <is>
          <t>Contemporary</t>
        </is>
      </c>
      <c r="C46" s="16" t="inlineStr">
        <is>
          <t>Zoom</t>
        </is>
      </c>
      <c r="D46" s="16" t="inlineStr">
        <is>
          <t>Full-frame</t>
        </is>
      </c>
      <c r="E46" s="16" t="inlineStr">
        <is>
          <t>28–70mm</t>
        </is>
      </c>
      <c r="F46" s="16" t="inlineStr">
        <is>
          <t>F2.8</t>
        </is>
      </c>
      <c r="G46" s="16" t="inlineStr">
        <is>
          <t>F22</t>
        </is>
      </c>
      <c r="H46" s="16" t="inlineStr">
        <is>
          <t>16 elements in 12 groups (2 FLD, 3 SLD, 3 aspherical)</t>
        </is>
      </c>
      <c r="I46" s="16" t="inlineStr">
        <is>
          <t>75.4–34.3°</t>
        </is>
      </c>
      <c r="J46" s="16" t="inlineStr">
        <is>
          <t>9 (rounded)</t>
        </is>
      </c>
      <c r="K46" s="16" t="inlineStr">
        <is>
          <t>19cm</t>
        </is>
      </c>
      <c r="L46" s="16" t="inlineStr">
        <is>
          <t>1:5.6</t>
        </is>
      </c>
      <c r="M46" s="16" t="inlineStr">
        <is>
          <t>φ67mm</t>
        </is>
      </c>
      <c r="N46" s="16" t="inlineStr">
        <is>
          <t>φ72.2×101.5mm (L) / φ72.2×103.5mm (E)</t>
        </is>
      </c>
      <c r="O46" s="16" t="inlineStr">
        <is>
          <t>470g</t>
        </is>
      </c>
      <c r="P46" s="16" t="inlineStr">
        <is>
          <t>L-Mount, Sony E-mount</t>
        </is>
      </c>
      <c r="Q46" s="16" t="inlineStr">
        <is>
          <t>Mirrorless</t>
        </is>
      </c>
      <c r="R46" s="16" t="inlineStr">
        <is>
          <t>Compact lightweight F2.8 standard zoom; great travel option</t>
        </is>
      </c>
      <c r="S46" s="16" t="inlineStr">
        <is>
          <t>https://www.sigma-global.com/en/lenses/c021_28_70_28/</t>
        </is>
      </c>
      <c r="T46" s="16" t="inlineStr">
        <is>
          <t>C021</t>
        </is>
      </c>
    </row>
    <row r="47">
      <c r="A47" s="17" t="inlineStr">
        <is>
          <t>100–400mm F5–6.3 DG DN OS</t>
        </is>
      </c>
      <c r="B47" s="17" t="inlineStr">
        <is>
          <t>Contemporary</t>
        </is>
      </c>
      <c r="C47" s="17" t="inlineStr">
        <is>
          <t>Zoom</t>
        </is>
      </c>
      <c r="D47" s="17" t="inlineStr">
        <is>
          <t>Full-frame</t>
        </is>
      </c>
      <c r="E47" s="17" t="inlineStr">
        <is>
          <t>100–400mm</t>
        </is>
      </c>
      <c r="F47" s="17" t="inlineStr">
        <is>
          <t>F5–6.3</t>
        </is>
      </c>
      <c r="G47" s="17" t="inlineStr">
        <is>
          <t>F22</t>
        </is>
      </c>
      <c r="H47" s="17" t="inlineStr">
        <is>
          <t>21 elements in 15 groups (1 FLD, 3 SLD, 1 aspherical)</t>
        </is>
      </c>
      <c r="I47" s="17" t="inlineStr">
        <is>
          <t>24.7–6.2°</t>
        </is>
      </c>
      <c r="J47" s="17" t="inlineStr">
        <is>
          <t>9 (rounded)</t>
        </is>
      </c>
      <c r="K47" s="17" t="inlineStr">
        <is>
          <t>100cm</t>
        </is>
      </c>
      <c r="L47" s="17" t="inlineStr">
        <is>
          <t>1:3.4</t>
        </is>
      </c>
      <c r="M47" s="17" t="inlineStr">
        <is>
          <t>φ82mm</t>
        </is>
      </c>
      <c r="N47" s="17" t="inlineStr">
        <is>
          <t>φ86.4×199.6mm (L) / φ86.4×201.6mm (E)</t>
        </is>
      </c>
      <c r="O47" s="17" t="inlineStr">
        <is>
          <t>1,140g</t>
        </is>
      </c>
      <c r="P47" s="17" t="inlineStr">
        <is>
          <t>L-Mount, Sony E-mount</t>
        </is>
      </c>
      <c r="Q47" s="17" t="inlineStr">
        <is>
          <t>Mirrorless</t>
        </is>
      </c>
      <c r="R47" s="17" t="inlineStr">
        <is>
          <t>Telephoto zoom with OIS; wildlife and sports photography</t>
        </is>
      </c>
      <c r="S47" s="17" t="inlineStr">
        <is>
          <t>https://www.sigma-global.com/en/lenses/c020_100_400_5_63/</t>
        </is>
      </c>
      <c r="T47" s="17" t="inlineStr">
        <is>
          <t>C020</t>
        </is>
      </c>
    </row>
    <row r="48">
      <c r="A48" s="18" t="inlineStr">
        <is>
          <t>200mm F2 DG OS</t>
        </is>
      </c>
      <c r="B48" s="18" t="inlineStr">
        <is>
          <t>Sports</t>
        </is>
      </c>
      <c r="C48" s="18" t="inlineStr">
        <is>
          <t>Prime</t>
        </is>
      </c>
      <c r="D48" s="18" t="inlineStr">
        <is>
          <t>Full-frame</t>
        </is>
      </c>
      <c r="E48" s="18" t="inlineStr">
        <is>
          <t>200mm</t>
        </is>
      </c>
      <c r="F48" s="18" t="inlineStr">
        <is>
          <t>F2</t>
        </is>
      </c>
      <c r="G48" s="18" t="inlineStr">
        <is>
          <t>F22</t>
        </is>
      </c>
      <c r="H48" s="18" t="inlineStr">
        <is>
          <t>23 elements in 19 groups (5 SLD, 2 FLD)</t>
        </is>
      </c>
      <c r="I48" s="18" t="inlineStr">
        <is>
          <t>12.3°</t>
        </is>
      </c>
      <c r="J48" s="18" t="inlineStr">
        <is>
          <t>11 (rounded)</t>
        </is>
      </c>
      <c r="K48" s="18" t="inlineStr">
        <is>
          <t>150cm</t>
        </is>
      </c>
      <c r="L48" s="18" t="inlineStr">
        <is>
          <t>1:6.7</t>
        </is>
      </c>
      <c r="M48" s="18" t="inlineStr">
        <is>
          <t>φ82mm</t>
        </is>
      </c>
      <c r="N48" s="18" t="inlineStr">
        <is>
          <t>φ99.4×233.6mm (L) / φ99.4×235.6mm (E)</t>
        </is>
      </c>
      <c r="O48" s="18" t="inlineStr">
        <is>
          <t>2,340g</t>
        </is>
      </c>
      <c r="P48" s="18" t="inlineStr">
        <is>
          <t>L-Mount, Sony E-mount, Canon EF, Nikon F</t>
        </is>
      </c>
      <c r="Q48" s="18" t="inlineStr">
        <is>
          <t>Mirrorless/DSLR</t>
        </is>
      </c>
      <c r="R48" s="18" t="inlineStr">
        <is>
          <t>Super-telephoto F2 prime; OS; portraits and sports at distance</t>
        </is>
      </c>
      <c r="S48" s="18" t="inlineStr">
        <is>
          <t>https://www.sigma-global.com/en/lenses/s025_200_2/</t>
        </is>
      </c>
      <c r="T48" s="18" t="inlineStr">
        <is>
          <t>S025</t>
        </is>
      </c>
    </row>
    <row r="49">
      <c r="A49" s="19" t="inlineStr">
        <is>
          <t>500mm F5.6 DG DN OS</t>
        </is>
      </c>
      <c r="B49" s="19" t="inlineStr">
        <is>
          <t>Sports</t>
        </is>
      </c>
      <c r="C49" s="19" t="inlineStr">
        <is>
          <t>Prime</t>
        </is>
      </c>
      <c r="D49" s="19" t="inlineStr">
        <is>
          <t>Full-frame</t>
        </is>
      </c>
      <c r="E49" s="19" t="inlineStr">
        <is>
          <t>500mm</t>
        </is>
      </c>
      <c r="F49" s="19" t="inlineStr">
        <is>
          <t>F5.6</t>
        </is>
      </c>
      <c r="G49" s="19" t="inlineStr">
        <is>
          <t>F32</t>
        </is>
      </c>
      <c r="H49" s="19" t="inlineStr">
        <is>
          <t>20 elements in 13 groups (4 FLD, 1 SLD)</t>
        </is>
      </c>
      <c r="I49" s="19" t="inlineStr">
        <is>
          <t>4.9°</t>
        </is>
      </c>
      <c r="J49" s="19" t="inlineStr">
        <is>
          <t>11 (rounded)</t>
        </is>
      </c>
      <c r="K49" s="19" t="inlineStr">
        <is>
          <t>200cm</t>
        </is>
      </c>
      <c r="L49" s="19" t="inlineStr">
        <is>
          <t>1:7.8</t>
        </is>
      </c>
      <c r="M49" s="19" t="inlineStr">
        <is>
          <t>φ95mm</t>
        </is>
      </c>
      <c r="N49" s="19" t="inlineStr">
        <is>
          <t>φ99.8×298.4mm (L) / φ99.8×300.4mm (E)</t>
        </is>
      </c>
      <c r="O49" s="19" t="inlineStr">
        <is>
          <t>1,525g</t>
        </is>
      </c>
      <c r="P49" s="19" t="inlineStr">
        <is>
          <t>L-Mount, Sony E-mount</t>
        </is>
      </c>
      <c r="Q49" s="19" t="inlineStr">
        <is>
          <t>Mirrorless</t>
        </is>
      </c>
      <c r="R49" s="19" t="inlineStr">
        <is>
          <t>Compact 500mm prime; OS; wildlife and birds in flight</t>
        </is>
      </c>
      <c r="S49" s="19" t="inlineStr">
        <is>
          <t>https://www.sigma-global.com/en/lenses/s024_500_56/</t>
        </is>
      </c>
      <c r="T49" s="19" t="inlineStr">
        <is>
          <t>S024</t>
        </is>
      </c>
    </row>
    <row r="50">
      <c r="A50" s="18" t="inlineStr">
        <is>
          <t>60–600mm F4.5–6.3 DG DN OS</t>
        </is>
      </c>
      <c r="B50" s="18" t="inlineStr">
        <is>
          <t>Sports</t>
        </is>
      </c>
      <c r="C50" s="18" t="inlineStr">
        <is>
          <t>Zoom</t>
        </is>
      </c>
      <c r="D50" s="18" t="inlineStr">
        <is>
          <t>Full-frame</t>
        </is>
      </c>
      <c r="E50" s="18" t="inlineStr">
        <is>
          <t>60–600mm</t>
        </is>
      </c>
      <c r="F50" s="18" t="inlineStr">
        <is>
          <t>F4.5–6.3</t>
        </is>
      </c>
      <c r="G50" s="18" t="inlineStr">
        <is>
          <t>F22</t>
        </is>
      </c>
      <c r="H50" s="18" t="inlineStr">
        <is>
          <t>24 elements in 19 groups (5 FLD, 1 SLD, 2 aspherical)</t>
        </is>
      </c>
      <c r="I50" s="18" t="inlineStr">
        <is>
          <t>40.3–4.1°</t>
        </is>
      </c>
      <c r="J50" s="18" t="inlineStr">
        <is>
          <t>11 (rounded)</t>
        </is>
      </c>
      <c r="K50" s="18" t="inlineStr">
        <is>
          <t>45cm</t>
        </is>
      </c>
      <c r="L50" s="18" t="inlineStr">
        <is>
          <t>1:3.6</t>
        </is>
      </c>
      <c r="M50" s="18" t="inlineStr">
        <is>
          <t>φ105mm</t>
        </is>
      </c>
      <c r="N50" s="18" t="inlineStr">
        <is>
          <t>φ111.6×275.2mm (L) / φ111.6×277.2mm (E)</t>
        </is>
      </c>
      <c r="O50" s="18" t="inlineStr">
        <is>
          <t>2,485g</t>
        </is>
      </c>
      <c r="P50" s="18" t="inlineStr">
        <is>
          <t>L-Mount, Sony E-mount</t>
        </is>
      </c>
      <c r="Q50" s="18" t="inlineStr">
        <is>
          <t>Mirrorless</t>
        </is>
      </c>
      <c r="R50" s="18" t="inlineStr">
        <is>
          <t>Versatile hyper-zoom; OS; covers from standard to super-telephoto</t>
        </is>
      </c>
      <c r="S50" s="18" t="inlineStr">
        <is>
          <t>https://www.sigma-global.com/en/lenses/s023_60_600_45_63/</t>
        </is>
      </c>
      <c r="T50" s="18" t="inlineStr">
        <is>
          <t>S023</t>
        </is>
      </c>
    </row>
    <row r="51">
      <c r="A51" s="19" t="inlineStr">
        <is>
          <t>60–600mm F4.5–6.3 DG OS HSM</t>
        </is>
      </c>
      <c r="B51" s="19" t="inlineStr">
        <is>
          <t>Sports</t>
        </is>
      </c>
      <c r="C51" s="19" t="inlineStr">
        <is>
          <t>Zoom</t>
        </is>
      </c>
      <c r="D51" s="19" t="inlineStr">
        <is>
          <t>Full-frame</t>
        </is>
      </c>
      <c r="E51" s="19" t="inlineStr">
        <is>
          <t>60–600mm</t>
        </is>
      </c>
      <c r="F51" s="19" t="inlineStr">
        <is>
          <t>F4.5–6.3</t>
        </is>
      </c>
      <c r="G51" s="19" t="inlineStr">
        <is>
          <t>F22</t>
        </is>
      </c>
      <c r="H51" s="19" t="inlineStr">
        <is>
          <t>24 elements in 19 groups (5 FLD, 1 SLD, 2 aspherical)</t>
        </is>
      </c>
      <c r="I51" s="19" t="inlineStr">
        <is>
          <t>40.3–4.1°</t>
        </is>
      </c>
      <c r="J51" s="19" t="inlineStr">
        <is>
          <t>11 (rounded)</t>
        </is>
      </c>
      <c r="K51" s="19" t="inlineStr">
        <is>
          <t>45cm</t>
        </is>
      </c>
      <c r="L51" s="19" t="inlineStr">
        <is>
          <t>1:3.6</t>
        </is>
      </c>
      <c r="M51" s="19" t="inlineStr">
        <is>
          <t>φ105mm</t>
        </is>
      </c>
      <c r="N51" s="19" t="inlineStr">
        <is>
          <t>φ114.4×257.7mm</t>
        </is>
      </c>
      <c r="O51" s="19" t="inlineStr">
        <is>
          <t>2,700g</t>
        </is>
      </c>
      <c r="P51" s="19" t="inlineStr">
        <is>
          <t>Canon EF, Nikon F, Sigma SA</t>
        </is>
      </c>
      <c r="Q51" s="19" t="inlineStr">
        <is>
          <t>DSLR</t>
        </is>
      </c>
      <c r="R51" s="19" t="inlineStr">
        <is>
          <t>DSLR version of versatile hyper-zoom with OS</t>
        </is>
      </c>
      <c r="S51" s="19" t="inlineStr">
        <is>
          <t>https://www.sigma-global.com/en/lenses/s018_60_600_45_63/</t>
        </is>
      </c>
      <c r="T51" s="19" t="inlineStr">
        <is>
          <t>S018</t>
        </is>
      </c>
    </row>
    <row r="52">
      <c r="A52" s="18" t="inlineStr">
        <is>
          <t>70–200mm F2.8 DG DN OS</t>
        </is>
      </c>
      <c r="B52" s="18" t="inlineStr">
        <is>
          <t>Sports</t>
        </is>
      </c>
      <c r="C52" s="18" t="inlineStr">
        <is>
          <t>Zoom</t>
        </is>
      </c>
      <c r="D52" s="18" t="inlineStr">
        <is>
          <t>Full-frame</t>
        </is>
      </c>
      <c r="E52" s="18" t="inlineStr">
        <is>
          <t>70–200mm</t>
        </is>
      </c>
      <c r="F52" s="18" t="inlineStr">
        <is>
          <t>F2.8</t>
        </is>
      </c>
      <c r="G52" s="18" t="inlineStr">
        <is>
          <t>F22</t>
        </is>
      </c>
      <c r="H52" s="18" t="inlineStr">
        <is>
          <t>22 elements in 18 groups (5 FLD, 3 SLD, 1 aspherical)</t>
        </is>
      </c>
      <c r="I52" s="18" t="inlineStr">
        <is>
          <t>34.3–12.3°</t>
        </is>
      </c>
      <c r="J52" s="18" t="inlineStr">
        <is>
          <t>11 (rounded)</t>
        </is>
      </c>
      <c r="K52" s="18" t="inlineStr">
        <is>
          <t>70cm</t>
        </is>
      </c>
      <c r="L52" s="18" t="inlineStr">
        <is>
          <t>1:5.7</t>
        </is>
      </c>
      <c r="M52" s="18" t="inlineStr">
        <is>
          <t>φ82mm</t>
        </is>
      </c>
      <c r="N52" s="18" t="inlineStr">
        <is>
          <t>φ94.4×201.6mm (L) / φ94.4×203.6mm (E)</t>
        </is>
      </c>
      <c r="O52" s="18" t="inlineStr">
        <is>
          <t>1,495g</t>
        </is>
      </c>
      <c r="P52" s="18" t="inlineStr">
        <is>
          <t>L-Mount, Sony E-mount</t>
        </is>
      </c>
      <c r="Q52" s="18" t="inlineStr">
        <is>
          <t>Mirrorless</t>
        </is>
      </c>
      <c r="R52" s="18" t="inlineStr">
        <is>
          <t>Constant F2.8 telephoto zoom; OS; professional sports and wildlife</t>
        </is>
      </c>
      <c r="S52" s="18" t="inlineStr">
        <is>
          <t>https://www.sigma-global.com/en/lenses/s023_70_200_28/</t>
        </is>
      </c>
      <c r="T52" s="18" t="inlineStr">
        <is>
          <t>S023</t>
        </is>
      </c>
    </row>
    <row r="53">
      <c r="A53" s="19" t="inlineStr">
        <is>
          <t>150–600mm F5–6.3 DG DN OS</t>
        </is>
      </c>
      <c r="B53" s="19" t="inlineStr">
        <is>
          <t>Sports</t>
        </is>
      </c>
      <c r="C53" s="19" t="inlineStr">
        <is>
          <t>Zoom</t>
        </is>
      </c>
      <c r="D53" s="19" t="inlineStr">
        <is>
          <t>Full-frame</t>
        </is>
      </c>
      <c r="E53" s="19" t="inlineStr">
        <is>
          <t>150–600mm</t>
        </is>
      </c>
      <c r="F53" s="19" t="inlineStr">
        <is>
          <t>F5–6.3</t>
        </is>
      </c>
      <c r="G53" s="19" t="inlineStr">
        <is>
          <t>F22</t>
        </is>
      </c>
      <c r="H53" s="19" t="inlineStr">
        <is>
          <t>24 elements in 19 groups (5 FLD, 1 SLD, 1 aspherical)</t>
        </is>
      </c>
      <c r="I53" s="19" t="inlineStr">
        <is>
          <t>16.4–4.1°</t>
        </is>
      </c>
      <c r="J53" s="19" t="inlineStr">
        <is>
          <t>9 (rounded)</t>
        </is>
      </c>
      <c r="K53" s="19" t="inlineStr">
        <is>
          <t>260cm</t>
        </is>
      </c>
      <c r="L53" s="19" t="inlineStr">
        <is>
          <t>1:5.3</t>
        </is>
      </c>
      <c r="M53" s="19" t="inlineStr">
        <is>
          <t>φ105mm</t>
        </is>
      </c>
      <c r="N53" s="19" t="inlineStr">
        <is>
          <t>φ109.4×269.4mm (L) / φ109.4×271.4mm (E)</t>
        </is>
      </c>
      <c r="O53" s="19" t="inlineStr">
        <is>
          <t>2,090g</t>
        </is>
      </c>
      <c r="P53" s="19" t="inlineStr">
        <is>
          <t>L-Mount, Sony E-mount</t>
        </is>
      </c>
      <c r="Q53" s="19" t="inlineStr">
        <is>
          <t>Mirrorless</t>
        </is>
      </c>
      <c r="R53" s="19" t="inlineStr">
        <is>
          <t>Super-telephoto zoom with OS; for birding and wildlife</t>
        </is>
      </c>
      <c r="S53" s="19" t="inlineStr">
        <is>
          <t>https://www.sigma-global.com/en/lenses/s021_150_600_5_63/</t>
        </is>
      </c>
      <c r="T53" s="19" t="inlineStr">
        <is>
          <t>S021</t>
        </is>
      </c>
    </row>
    <row r="54">
      <c r="A54" s="18" t="inlineStr">
        <is>
          <t>300–600mm F4 DG OS</t>
        </is>
      </c>
      <c r="B54" s="18" t="inlineStr">
        <is>
          <t>Sports</t>
        </is>
      </c>
      <c r="C54" s="18" t="inlineStr">
        <is>
          <t>Zoom</t>
        </is>
      </c>
      <c r="D54" s="18" t="inlineStr">
        <is>
          <t>Full-frame</t>
        </is>
      </c>
      <c r="E54" s="18" t="inlineStr">
        <is>
          <t>300–600mm</t>
        </is>
      </c>
      <c r="F54" s="18" t="inlineStr">
        <is>
          <t>F4</t>
        </is>
      </c>
      <c r="G54" s="18" t="inlineStr">
        <is>
          <t>F22</t>
        </is>
      </c>
      <c r="H54" s="18" t="inlineStr">
        <is>
          <t>30 elements in 22 groups (7 FLD, 2 SLD)</t>
        </is>
      </c>
      <c r="I54" s="18" t="inlineStr">
        <is>
          <t>8.2–4.1°</t>
        </is>
      </c>
      <c r="J54" s="18" t="inlineStr">
        <is>
          <t>11 (rounded)</t>
        </is>
      </c>
      <c r="K54" s="18" t="inlineStr">
        <is>
          <t>250cm</t>
        </is>
      </c>
      <c r="L54" s="18" t="inlineStr">
        <is>
          <t>1:8.9</t>
        </is>
      </c>
      <c r="M54" s="18" t="inlineStr">
        <is>
          <t>φ105mm</t>
        </is>
      </c>
      <c r="N54" s="18" t="inlineStr">
        <is>
          <t>φ138.0×370.0mm</t>
        </is>
      </c>
      <c r="O54" s="18" t="inlineStr">
        <is>
          <t>4,430g</t>
        </is>
      </c>
      <c r="P54" s="18" t="inlineStr">
        <is>
          <t>Canon EF, Nikon F, Sigma SA</t>
        </is>
      </c>
      <c r="Q54" s="18" t="inlineStr">
        <is>
          <t>DSLR</t>
        </is>
      </c>
      <c r="R54" s="18" t="inlineStr">
        <is>
          <t>Constant F4 super-telephoto zoom; pro-grade sports and wildlife</t>
        </is>
      </c>
      <c r="S54" s="18" t="inlineStr">
        <is>
          <t>https://www.sigma-global.com/en/lenses/s025_300_600_4/</t>
        </is>
      </c>
      <c r="T54" s="18" t="inlineStr">
        <is>
          <t>S025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60" customWidth="1" min="10" max="10"/>
    <col width="55" customWidth="1" min="11" max="11"/>
  </cols>
  <sheetData>
    <row r="1" ht="32" customHeight="1">
      <c r="A1" s="13" t="inlineStr">
        <is>
          <t>Product Name</t>
        </is>
      </c>
      <c r="B1" s="13" t="inlineStr">
        <is>
          <t>Product Line</t>
        </is>
      </c>
      <c r="C1" s="13" t="inlineStr">
        <is>
          <t>Focal Length</t>
        </is>
      </c>
      <c r="D1" s="13" t="inlineStr">
        <is>
          <t>T-Stop</t>
        </is>
      </c>
      <c r="E1" s="13" t="inlineStr">
        <is>
          <t>Min T-Stop</t>
        </is>
      </c>
      <c r="F1" s="13" t="inlineStr">
        <is>
          <t>Lens Type</t>
        </is>
      </c>
      <c r="G1" s="13" t="inlineStr">
        <is>
          <t>Image Circle</t>
        </is>
      </c>
      <c r="H1" s="13" t="inlineStr">
        <is>
          <t>Close Focus</t>
        </is>
      </c>
      <c r="I1" s="13" t="inlineStr">
        <is>
          <t>Front Diameter</t>
        </is>
      </c>
      <c r="J1" s="13" t="inlineStr">
        <is>
          <t>Key Features</t>
        </is>
      </c>
      <c r="K1" s="13" t="inlineStr">
        <is>
          <t>Product URL</t>
        </is>
      </c>
    </row>
    <row r="2">
      <c r="A2" s="20" t="inlineStr">
        <is>
          <t>Aizu Prime 25mm T1.3 LF</t>
        </is>
      </c>
      <c r="B2" s="20" t="inlineStr">
        <is>
          <t>Aizu Prime Line</t>
        </is>
      </c>
      <c r="C2" s="20" t="inlineStr">
        <is>
          <t>25mm</t>
        </is>
      </c>
      <c r="D2" s="20" t="inlineStr">
        <is>
          <t>T1.3</t>
        </is>
      </c>
      <c r="E2" s="20" t="inlineStr">
        <is>
          <t>T22</t>
        </is>
      </c>
      <c r="F2" s="20" t="inlineStr">
        <is>
          <t>Prime</t>
        </is>
      </c>
      <c r="G2" s="20" t="inlineStr">
        <is>
          <t>LF / Full-Frame</t>
        </is>
      </c>
      <c r="H2" s="20" t="inlineStr">
        <is>
          <t>~30cm</t>
        </is>
      </c>
      <c r="I2" s="20" t="inlineStr">
        <is>
          <t>φ95mm</t>
        </is>
      </c>
      <c r="J2" s="20" t="inlineStr">
        <is>
          <t>Compact LF cine prime; high-speed; sharp across LF sensor</t>
        </is>
      </c>
      <c r="K2" s="20" t="inlineStr">
        <is>
          <t>https://www.sigma-global.com/en/cine-lenses/aizu-prime/25_13/</t>
        </is>
      </c>
    </row>
    <row r="3">
      <c r="A3" s="21" t="inlineStr">
        <is>
          <t>Aizu Prime 27mm T1.3 LF</t>
        </is>
      </c>
      <c r="B3" s="21" t="inlineStr">
        <is>
          <t>Aizu Prime Line</t>
        </is>
      </c>
      <c r="C3" s="21" t="inlineStr">
        <is>
          <t>27mm</t>
        </is>
      </c>
      <c r="D3" s="21" t="inlineStr">
        <is>
          <t>T1.3</t>
        </is>
      </c>
      <c r="E3" s="21" t="inlineStr">
        <is>
          <t>T22</t>
        </is>
      </c>
      <c r="F3" s="21" t="inlineStr">
        <is>
          <t>Prime</t>
        </is>
      </c>
      <c r="G3" s="21" t="inlineStr">
        <is>
          <t>LF / Full-Frame</t>
        </is>
      </c>
      <c r="H3" s="21" t="inlineStr">
        <is>
          <t>~30cm</t>
        </is>
      </c>
      <c r="I3" s="21" t="inlineStr">
        <is>
          <t>φ95mm</t>
        </is>
      </c>
      <c r="J3" s="21" t="inlineStr">
        <is>
          <t>Wide cine prime in the Aizu Prime family</t>
        </is>
      </c>
      <c r="K3" s="21" t="inlineStr">
        <is>
          <t>https://www.sigma-global.com/en/cine-lenses/aizu-prime/27_13/</t>
        </is>
      </c>
    </row>
    <row r="4">
      <c r="A4" s="20" t="inlineStr">
        <is>
          <t>Aizu Prime 32mm T1.3 LF</t>
        </is>
      </c>
      <c r="B4" s="20" t="inlineStr">
        <is>
          <t>Aizu Prime Line</t>
        </is>
      </c>
      <c r="C4" s="20" t="inlineStr">
        <is>
          <t>32mm</t>
        </is>
      </c>
      <c r="D4" s="20" t="inlineStr">
        <is>
          <t>T1.3</t>
        </is>
      </c>
      <c r="E4" s="20" t="inlineStr">
        <is>
          <t>T22</t>
        </is>
      </c>
      <c r="F4" s="20" t="inlineStr">
        <is>
          <t>Prime</t>
        </is>
      </c>
      <c r="G4" s="20" t="inlineStr">
        <is>
          <t>LF / Full-Frame</t>
        </is>
      </c>
      <c r="H4" s="20" t="inlineStr">
        <is>
          <t>~30cm</t>
        </is>
      </c>
      <c r="I4" s="20" t="inlineStr">
        <is>
          <t>φ95mm</t>
        </is>
      </c>
      <c r="J4" s="20" t="inlineStr">
        <is>
          <t>Versatile normal-wide LF prime for cinema</t>
        </is>
      </c>
      <c r="K4" s="20" t="inlineStr">
        <is>
          <t>https://www.sigma-global.com/en/cine-lenses/aizu-prime/32_13/</t>
        </is>
      </c>
    </row>
    <row r="5">
      <c r="A5" s="21" t="inlineStr">
        <is>
          <t>Aizu Prime 35mm T1.3 LF</t>
        </is>
      </c>
      <c r="B5" s="21" t="inlineStr">
        <is>
          <t>Aizu Prime Line</t>
        </is>
      </c>
      <c r="C5" s="21" t="inlineStr">
        <is>
          <t>35mm</t>
        </is>
      </c>
      <c r="D5" s="21" t="inlineStr">
        <is>
          <t>T1.3</t>
        </is>
      </c>
      <c r="E5" s="21" t="inlineStr">
        <is>
          <t>T22</t>
        </is>
      </c>
      <c r="F5" s="21" t="inlineStr">
        <is>
          <t>Prime</t>
        </is>
      </c>
      <c r="G5" s="21" t="inlineStr">
        <is>
          <t>LF / Full-Frame</t>
        </is>
      </c>
      <c r="H5" s="21" t="inlineStr">
        <is>
          <t>~30cm</t>
        </is>
      </c>
      <c r="I5" s="21" t="inlineStr">
        <is>
          <t>φ95mm</t>
        </is>
      </c>
      <c r="J5" s="21" t="inlineStr">
        <is>
          <t>Standard-wide LF cine prime; cinematic rendering</t>
        </is>
      </c>
      <c r="K5" s="21" t="inlineStr">
        <is>
          <t>https://www.sigma-global.com/en/cine-lenses/aizu-prime/35_13/</t>
        </is>
      </c>
    </row>
    <row r="6">
      <c r="A6" s="20" t="inlineStr">
        <is>
          <t>Aizu Prime 40mm T1.3 LF</t>
        </is>
      </c>
      <c r="B6" s="20" t="inlineStr">
        <is>
          <t>Aizu Prime Line</t>
        </is>
      </c>
      <c r="C6" s="20" t="inlineStr">
        <is>
          <t>40mm</t>
        </is>
      </c>
      <c r="D6" s="20" t="inlineStr">
        <is>
          <t>T1.3</t>
        </is>
      </c>
      <c r="E6" s="20" t="inlineStr">
        <is>
          <t>T22</t>
        </is>
      </c>
      <c r="F6" s="20" t="inlineStr">
        <is>
          <t>Prime</t>
        </is>
      </c>
      <c r="G6" s="20" t="inlineStr">
        <is>
          <t>LF / Full-Frame</t>
        </is>
      </c>
      <c r="H6" s="20" t="inlineStr">
        <is>
          <t>~30cm</t>
        </is>
      </c>
      <c r="I6" s="20" t="inlineStr">
        <is>
          <t>φ95mm</t>
        </is>
      </c>
      <c r="J6" s="20" t="inlineStr">
        <is>
          <t>Normal LF prime; smooth focus mechanics for cinematography</t>
        </is>
      </c>
      <c r="K6" s="20" t="inlineStr">
        <is>
          <t>https://www.sigma-global.com/en/cine-lenses/aizu-prime/40_13/</t>
        </is>
      </c>
    </row>
    <row r="7">
      <c r="A7" s="21" t="inlineStr">
        <is>
          <t>Aizu Prime 50mm T1.3 LF</t>
        </is>
      </c>
      <c r="B7" s="21" t="inlineStr">
        <is>
          <t>Aizu Prime Line</t>
        </is>
      </c>
      <c r="C7" s="21" t="inlineStr">
        <is>
          <t>50mm</t>
        </is>
      </c>
      <c r="D7" s="21" t="inlineStr">
        <is>
          <t>T1.3</t>
        </is>
      </c>
      <c r="E7" s="21" t="inlineStr">
        <is>
          <t>T22</t>
        </is>
      </c>
      <c r="F7" s="21" t="inlineStr">
        <is>
          <t>Prime</t>
        </is>
      </c>
      <c r="G7" s="21" t="inlineStr">
        <is>
          <t>LF / Full-Frame</t>
        </is>
      </c>
      <c r="H7" s="21" t="inlineStr">
        <is>
          <t>~30cm</t>
        </is>
      </c>
      <c r="I7" s="21" t="inlineStr">
        <is>
          <t>φ95mm</t>
        </is>
      </c>
      <c r="J7" s="21" t="inlineStr">
        <is>
          <t>Standard LF cine prime; versatile focal length</t>
        </is>
      </c>
      <c r="K7" s="21" t="inlineStr">
        <is>
          <t>https://www.sigma-global.com/en/cine-lenses/aizu-prime/50_13/</t>
        </is>
      </c>
    </row>
    <row r="8">
      <c r="A8" s="20" t="inlineStr">
        <is>
          <t>Aizu Prime 65mm T1.3 LF</t>
        </is>
      </c>
      <c r="B8" s="20" t="inlineStr">
        <is>
          <t>Aizu Prime Line</t>
        </is>
      </c>
      <c r="C8" s="20" t="inlineStr">
        <is>
          <t>65mm</t>
        </is>
      </c>
      <c r="D8" s="20" t="inlineStr">
        <is>
          <t>T1.3</t>
        </is>
      </c>
      <c r="E8" s="20" t="inlineStr">
        <is>
          <t>T22</t>
        </is>
      </c>
      <c r="F8" s="20" t="inlineStr">
        <is>
          <t>Prime</t>
        </is>
      </c>
      <c r="G8" s="20" t="inlineStr">
        <is>
          <t>LF / Full-Frame</t>
        </is>
      </c>
      <c r="H8" s="20" t="inlineStr">
        <is>
          <t>~30cm</t>
        </is>
      </c>
      <c r="I8" s="20" t="inlineStr">
        <is>
          <t>φ95mm</t>
        </is>
      </c>
      <c r="J8" s="20" t="inlineStr">
        <is>
          <t>Short telephoto LF cine prime; portrait coverage</t>
        </is>
      </c>
      <c r="K8" s="20" t="inlineStr">
        <is>
          <t>https://www.sigma-global.com/en/cine-lenses/aizu-prime/65_13/</t>
        </is>
      </c>
    </row>
    <row r="9">
      <c r="A9" s="21" t="inlineStr">
        <is>
          <t>Aizu Prime 75mm T1.3 LF</t>
        </is>
      </c>
      <c r="B9" s="21" t="inlineStr">
        <is>
          <t>Aizu Prime Line</t>
        </is>
      </c>
      <c r="C9" s="21" t="inlineStr">
        <is>
          <t>75mm</t>
        </is>
      </c>
      <c r="D9" s="21" t="inlineStr">
        <is>
          <t>T1.3</t>
        </is>
      </c>
      <c r="E9" s="21" t="inlineStr">
        <is>
          <t>T22</t>
        </is>
      </c>
      <c r="F9" s="21" t="inlineStr">
        <is>
          <t>Prime</t>
        </is>
      </c>
      <c r="G9" s="21" t="inlineStr">
        <is>
          <t>LF / Full-Frame</t>
        </is>
      </c>
      <c r="H9" s="21" t="inlineStr">
        <is>
          <t>~30cm</t>
        </is>
      </c>
      <c r="I9" s="21" t="inlineStr">
        <is>
          <t>φ95mm</t>
        </is>
      </c>
      <c r="J9" s="21" t="inlineStr">
        <is>
          <t>Telephoto LF prime; smooth rendering for narrative filmmaking</t>
        </is>
      </c>
      <c r="K9" s="21" t="inlineStr">
        <is>
          <t>https://www.sigma-global.com/en/cine-lenses/aizu-prime/75_13/</t>
        </is>
      </c>
    </row>
    <row r="10">
      <c r="A10" s="20" t="inlineStr">
        <is>
          <t>FF High Speed Prime 14mm T2 FF</t>
        </is>
      </c>
      <c r="B10" s="20" t="inlineStr">
        <is>
          <t>FF High Speed Prime Line</t>
        </is>
      </c>
      <c r="C10" s="20" t="inlineStr">
        <is>
          <t>14mm</t>
        </is>
      </c>
      <c r="D10" s="20" t="inlineStr">
        <is>
          <t>T2</t>
        </is>
      </c>
      <c r="E10" s="20" t="inlineStr">
        <is>
          <t>T22</t>
        </is>
      </c>
      <c r="F10" s="20" t="inlineStr">
        <is>
          <t>Prime</t>
        </is>
      </c>
      <c r="G10" s="20" t="inlineStr">
        <is>
          <t>Full-Frame</t>
        </is>
      </c>
      <c r="H10" s="20" t="inlineStr">
        <is>
          <t>27cm</t>
        </is>
      </c>
      <c r="I10" s="20" t="inlineStr">
        <is>
          <t>φ114mm</t>
        </is>
      </c>
      <c r="J10" s="20" t="inlineStr">
        <is>
          <t>Ultra-wide full-frame cine prime with T2 speed</t>
        </is>
      </c>
      <c r="K10" s="20" t="inlineStr">
        <is>
          <t>https://www.sigma-global.com/en/cine-lenses/ff-high-speed-prime/14_2/</t>
        </is>
      </c>
    </row>
    <row r="11">
      <c r="A11" s="21" t="inlineStr">
        <is>
          <t>FF High Speed Prime 20mm T1.5 FF</t>
        </is>
      </c>
      <c r="B11" s="21" t="inlineStr">
        <is>
          <t>FF High Speed Prime Line</t>
        </is>
      </c>
      <c r="C11" s="21" t="inlineStr">
        <is>
          <t>20mm</t>
        </is>
      </c>
      <c r="D11" s="21" t="inlineStr">
        <is>
          <t>T1.5</t>
        </is>
      </c>
      <c r="E11" s="21" t="inlineStr">
        <is>
          <t>T22</t>
        </is>
      </c>
      <c r="F11" s="21" t="inlineStr">
        <is>
          <t>Prime</t>
        </is>
      </c>
      <c r="G11" s="21" t="inlineStr">
        <is>
          <t>Full-Frame</t>
        </is>
      </c>
      <c r="H11" s="21" t="inlineStr">
        <is>
          <t>27cm</t>
        </is>
      </c>
      <c r="I11" s="21" t="inlineStr">
        <is>
          <t>φ114mm</t>
        </is>
      </c>
      <c r="J11" s="21" t="inlineStr">
        <is>
          <t>Wide-angle T1.5 cine prime for full-frame sensors</t>
        </is>
      </c>
      <c r="K11" s="21" t="inlineStr">
        <is>
          <t>https://www.sigma-global.com/en/cine-lenses/ff-high-speed-prime/20_15/</t>
        </is>
      </c>
    </row>
    <row r="12">
      <c r="A12" s="20" t="inlineStr">
        <is>
          <t>FF High Speed Prime 24mm T1.5 FF</t>
        </is>
      </c>
      <c r="B12" s="20" t="inlineStr">
        <is>
          <t>FF High Speed Prime Line</t>
        </is>
      </c>
      <c r="C12" s="20" t="inlineStr">
        <is>
          <t>24mm</t>
        </is>
      </c>
      <c r="D12" s="20" t="inlineStr">
        <is>
          <t>T1.5</t>
        </is>
      </c>
      <c r="E12" s="20" t="inlineStr">
        <is>
          <t>T22</t>
        </is>
      </c>
      <c r="F12" s="20" t="inlineStr">
        <is>
          <t>Prime</t>
        </is>
      </c>
      <c r="G12" s="20" t="inlineStr">
        <is>
          <t>Full-Frame</t>
        </is>
      </c>
      <c r="H12" s="20" t="inlineStr">
        <is>
          <t>24cm</t>
        </is>
      </c>
      <c r="I12" s="20" t="inlineStr">
        <is>
          <t>φ114mm</t>
        </is>
      </c>
      <c r="J12" s="20" t="inlineStr">
        <is>
          <t>Wide T1.5 prime; high-speed for low-light cinematography</t>
        </is>
      </c>
      <c r="K12" s="20" t="inlineStr">
        <is>
          <t>https://www.sigma-global.com/en/cine-lenses/ff-high-speed-prime/24_15/</t>
        </is>
      </c>
    </row>
    <row r="13">
      <c r="A13" s="21" t="inlineStr">
        <is>
          <t>FF High Speed Prime 28mm T1.5 FF</t>
        </is>
      </c>
      <c r="B13" s="21" t="inlineStr">
        <is>
          <t>FF High Speed Prime Line</t>
        </is>
      </c>
      <c r="C13" s="21" t="inlineStr">
        <is>
          <t>28mm</t>
        </is>
      </c>
      <c r="D13" s="21" t="inlineStr">
        <is>
          <t>T1.5</t>
        </is>
      </c>
      <c r="E13" s="21" t="inlineStr">
        <is>
          <t>T22</t>
        </is>
      </c>
      <c r="F13" s="21" t="inlineStr">
        <is>
          <t>Prime</t>
        </is>
      </c>
      <c r="G13" s="21" t="inlineStr">
        <is>
          <t>Full-Frame</t>
        </is>
      </c>
      <c r="H13" s="21" t="inlineStr">
        <is>
          <t>25cm</t>
        </is>
      </c>
      <c r="I13" s="21" t="inlineStr">
        <is>
          <t>φ114mm</t>
        </is>
      </c>
      <c r="J13" s="21" t="inlineStr">
        <is>
          <t>Normal-wide T1.5 high-speed cine prime</t>
        </is>
      </c>
      <c r="K13" s="21" t="inlineStr">
        <is>
          <t>https://www.sigma-global.com/en/cine-lenses/ff-high-speed-prime/28_15/</t>
        </is>
      </c>
    </row>
    <row r="14">
      <c r="A14" s="20" t="inlineStr">
        <is>
          <t>FF High Speed Prime 35mm T1.5 FF</t>
        </is>
      </c>
      <c r="B14" s="20" t="inlineStr">
        <is>
          <t>FF High Speed Prime Line</t>
        </is>
      </c>
      <c r="C14" s="20" t="inlineStr">
        <is>
          <t>35mm</t>
        </is>
      </c>
      <c r="D14" s="20" t="inlineStr">
        <is>
          <t>T1.5</t>
        </is>
      </c>
      <c r="E14" s="20" t="inlineStr">
        <is>
          <t>T22</t>
        </is>
      </c>
      <c r="F14" s="20" t="inlineStr">
        <is>
          <t>Prime</t>
        </is>
      </c>
      <c r="G14" s="20" t="inlineStr">
        <is>
          <t>Full-Frame</t>
        </is>
      </c>
      <c r="H14" s="20" t="inlineStr">
        <is>
          <t>30cm</t>
        </is>
      </c>
      <c r="I14" s="20" t="inlineStr">
        <is>
          <t>φ114mm</t>
        </is>
      </c>
      <c r="J14" s="20" t="inlineStr">
        <is>
          <t>Popular 35mm T1.5 for cinematic storytelling</t>
        </is>
      </c>
      <c r="K14" s="20" t="inlineStr">
        <is>
          <t>https://www.sigma-global.com/en/cine-lenses/ff-high-speed-prime/35_15/</t>
        </is>
      </c>
    </row>
    <row r="15">
      <c r="A15" s="21" t="inlineStr">
        <is>
          <t>FF High Speed Prime 40mm T1.5 FF</t>
        </is>
      </c>
      <c r="B15" s="21" t="inlineStr">
        <is>
          <t>FF High Speed Prime Line</t>
        </is>
      </c>
      <c r="C15" s="21" t="inlineStr">
        <is>
          <t>40mm</t>
        </is>
      </c>
      <c r="D15" s="21" t="inlineStr">
        <is>
          <t>T1.5</t>
        </is>
      </c>
      <c r="E15" s="21" t="inlineStr">
        <is>
          <t>T22</t>
        </is>
      </c>
      <c r="F15" s="21" t="inlineStr">
        <is>
          <t>Prime</t>
        </is>
      </c>
      <c r="G15" s="21" t="inlineStr">
        <is>
          <t>Full-Frame</t>
        </is>
      </c>
      <c r="H15" s="21" t="inlineStr">
        <is>
          <t>35cm</t>
        </is>
      </c>
      <c r="I15" s="21" t="inlineStr">
        <is>
          <t>φ114mm</t>
        </is>
      </c>
      <c r="J15" s="21" t="inlineStr">
        <is>
          <t>Versatile normal T1.5 cine prime</t>
        </is>
      </c>
      <c r="K15" s="21" t="inlineStr">
        <is>
          <t>https://www.sigma-global.com/en/cine-lenses/ff-high-speed-prime/40_15/</t>
        </is>
      </c>
    </row>
    <row r="16">
      <c r="A16" s="20" t="inlineStr">
        <is>
          <t>FF High Speed Prime 50mm T1.5 FF</t>
        </is>
      </c>
      <c r="B16" s="20" t="inlineStr">
        <is>
          <t>FF High Speed Prime Line</t>
        </is>
      </c>
      <c r="C16" s="20" t="inlineStr">
        <is>
          <t>50mm</t>
        </is>
      </c>
      <c r="D16" s="20" t="inlineStr">
        <is>
          <t>T1.5</t>
        </is>
      </c>
      <c r="E16" s="20" t="inlineStr">
        <is>
          <t>T22</t>
        </is>
      </c>
      <c r="F16" s="20" t="inlineStr">
        <is>
          <t>Prime</t>
        </is>
      </c>
      <c r="G16" s="20" t="inlineStr">
        <is>
          <t>Full-Frame</t>
        </is>
      </c>
      <c r="H16" s="20" t="inlineStr">
        <is>
          <t>40cm</t>
        </is>
      </c>
      <c r="I16" s="20" t="inlineStr">
        <is>
          <t>φ114mm</t>
        </is>
      </c>
      <c r="J16" s="20" t="inlineStr">
        <is>
          <t>Standard T1.5 prime; ideal for narrative and documentary</t>
        </is>
      </c>
      <c r="K16" s="20" t="inlineStr">
        <is>
          <t>https://www.sigma-global.com/en/cine-lenses/ff-high-speed-prime/50_15/</t>
        </is>
      </c>
    </row>
    <row r="17">
      <c r="A17" s="21" t="inlineStr">
        <is>
          <t>FF High Speed Prime 65mm T1.5 FF</t>
        </is>
      </c>
      <c r="B17" s="21" t="inlineStr">
        <is>
          <t>FF High Speed Prime Line</t>
        </is>
      </c>
      <c r="C17" s="21" t="inlineStr">
        <is>
          <t>65mm</t>
        </is>
      </c>
      <c r="D17" s="21" t="inlineStr">
        <is>
          <t>T1.5</t>
        </is>
      </c>
      <c r="E17" s="21" t="inlineStr">
        <is>
          <t>T22</t>
        </is>
      </c>
      <c r="F17" s="21" t="inlineStr">
        <is>
          <t>Prime</t>
        </is>
      </c>
      <c r="G17" s="21" t="inlineStr">
        <is>
          <t>Full-Frame</t>
        </is>
      </c>
      <c r="H17" s="21" t="inlineStr">
        <is>
          <t>50cm</t>
        </is>
      </c>
      <c r="I17" s="21" t="inlineStr">
        <is>
          <t>φ114mm</t>
        </is>
      </c>
      <c r="J17" s="21" t="inlineStr">
        <is>
          <t>Portrait cine prime T1.5; beautiful subject isolation</t>
        </is>
      </c>
      <c r="K17" s="21" t="inlineStr">
        <is>
          <t>https://www.sigma-global.com/en/cine-lenses/ff-high-speed-prime/65_15/</t>
        </is>
      </c>
    </row>
    <row r="18">
      <c r="A18" s="20" t="inlineStr">
        <is>
          <t>FF High Speed Prime 85mm T1.5 FF</t>
        </is>
      </c>
      <c r="B18" s="20" t="inlineStr">
        <is>
          <t>FF High Speed Prime Line</t>
        </is>
      </c>
      <c r="C18" s="20" t="inlineStr">
        <is>
          <t>85mm</t>
        </is>
      </c>
      <c r="D18" s="20" t="inlineStr">
        <is>
          <t>T1.5</t>
        </is>
      </c>
      <c r="E18" s="20" t="inlineStr">
        <is>
          <t>T22</t>
        </is>
      </c>
      <c r="F18" s="20" t="inlineStr">
        <is>
          <t>Prime</t>
        </is>
      </c>
      <c r="G18" s="20" t="inlineStr">
        <is>
          <t>Full-Frame</t>
        </is>
      </c>
      <c r="H18" s="20" t="inlineStr">
        <is>
          <t>85cm</t>
        </is>
      </c>
      <c r="I18" s="20" t="inlineStr">
        <is>
          <t>φ114mm</t>
        </is>
      </c>
      <c r="J18" s="20" t="inlineStr">
        <is>
          <t>Classic portrait T1.5 prime; shallow depth of field</t>
        </is>
      </c>
      <c r="K18" s="20" t="inlineStr">
        <is>
          <t>https://www.sigma-global.com/en/cine-lenses/ff-high-speed-prime/85_15/</t>
        </is>
      </c>
    </row>
    <row r="19">
      <c r="A19" s="21" t="inlineStr">
        <is>
          <t>FF High Speed Prime 105mm T1.5 FF</t>
        </is>
      </c>
      <c r="B19" s="21" t="inlineStr">
        <is>
          <t>FF High Speed Prime Line</t>
        </is>
      </c>
      <c r="C19" s="21" t="inlineStr">
        <is>
          <t>105mm</t>
        </is>
      </c>
      <c r="D19" s="21" t="inlineStr">
        <is>
          <t>T1.5</t>
        </is>
      </c>
      <c r="E19" s="21" t="inlineStr">
        <is>
          <t>T22</t>
        </is>
      </c>
      <c r="F19" s="21" t="inlineStr">
        <is>
          <t>Prime</t>
        </is>
      </c>
      <c r="G19" s="21" t="inlineStr">
        <is>
          <t>Full-Frame</t>
        </is>
      </c>
      <c r="H19" s="21" t="inlineStr">
        <is>
          <t>100cm</t>
        </is>
      </c>
      <c r="I19" s="21" t="inlineStr">
        <is>
          <t>φ114mm</t>
        </is>
      </c>
      <c r="J19" s="21" t="inlineStr">
        <is>
          <t>Telephoto T1.5 cine prime for portrait and drama</t>
        </is>
      </c>
      <c r="K19" s="21" t="inlineStr">
        <is>
          <t>https://www.sigma-global.com/en/cine-lenses/ff-high-speed-prime/105_15/</t>
        </is>
      </c>
    </row>
    <row r="20">
      <c r="A20" s="20" t="inlineStr">
        <is>
          <t>FF High Speed Prime 135mm T2 FF</t>
        </is>
      </c>
      <c r="B20" s="20" t="inlineStr">
        <is>
          <t>FF High Speed Prime Line</t>
        </is>
      </c>
      <c r="C20" s="20" t="inlineStr">
        <is>
          <t>135mm</t>
        </is>
      </c>
      <c r="D20" s="20" t="inlineStr">
        <is>
          <t>T2</t>
        </is>
      </c>
      <c r="E20" s="20" t="inlineStr">
        <is>
          <t>T22</t>
        </is>
      </c>
      <c r="F20" s="20" t="inlineStr">
        <is>
          <t>Prime</t>
        </is>
      </c>
      <c r="G20" s="20" t="inlineStr">
        <is>
          <t>Full-Frame</t>
        </is>
      </c>
      <c r="H20" s="20" t="inlineStr">
        <is>
          <t>87.5cm</t>
        </is>
      </c>
      <c r="I20" s="20" t="inlineStr">
        <is>
          <t>φ114mm</t>
        </is>
      </c>
      <c r="J20" s="20" t="inlineStr">
        <is>
          <t>Long portrait T2 cine prime; dramatic compression</t>
        </is>
      </c>
      <c r="K20" s="20" t="inlineStr">
        <is>
          <t>https://www.sigma-global.com/en/cine-lenses/ff-high-speed-prime/135_2/</t>
        </is>
      </c>
    </row>
    <row r="21">
      <c r="A21" s="21" t="inlineStr">
        <is>
          <t>FF Classic Prime 14mm T3.2 FF</t>
        </is>
      </c>
      <c r="B21" s="21" t="inlineStr">
        <is>
          <t>FF Classic Prime Line</t>
        </is>
      </c>
      <c r="C21" s="21" t="inlineStr">
        <is>
          <t>14mm</t>
        </is>
      </c>
      <c r="D21" s="21" t="inlineStr">
        <is>
          <t>T3.2</t>
        </is>
      </c>
      <c r="E21" s="21" t="inlineStr">
        <is>
          <t>T22</t>
        </is>
      </c>
      <c r="F21" s="21" t="inlineStr">
        <is>
          <t>Prime</t>
        </is>
      </c>
      <c r="G21" s="21" t="inlineStr">
        <is>
          <t>Full-Frame</t>
        </is>
      </c>
      <c r="H21" s="21" t="inlineStr">
        <is>
          <t>27cm</t>
        </is>
      </c>
      <c r="I21" s="21" t="inlineStr">
        <is>
          <t>φ95mm</t>
        </is>
      </c>
      <c r="J21" s="21" t="inlineStr">
        <is>
          <t>Classic rendering ultra-wide prime for FF cinema</t>
        </is>
      </c>
      <c r="K21" s="21" t="inlineStr">
        <is>
          <t>https://www.sigma-global.com/en/cine-lenses/ff-classic-prime/14_32/</t>
        </is>
      </c>
    </row>
    <row r="22">
      <c r="A22" s="20" t="inlineStr">
        <is>
          <t>FF Classic Prime 20mm T2.5 FF</t>
        </is>
      </c>
      <c r="B22" s="20" t="inlineStr">
        <is>
          <t>FF Classic Prime Line</t>
        </is>
      </c>
      <c r="C22" s="20" t="inlineStr">
        <is>
          <t>20mm</t>
        </is>
      </c>
      <c r="D22" s="20" t="inlineStr">
        <is>
          <t>T2.5</t>
        </is>
      </c>
      <c r="E22" s="20" t="inlineStr">
        <is>
          <t>T22</t>
        </is>
      </c>
      <c r="F22" s="20" t="inlineStr">
        <is>
          <t>Prime</t>
        </is>
      </c>
      <c r="G22" s="20" t="inlineStr">
        <is>
          <t>Full-Frame</t>
        </is>
      </c>
      <c r="H22" s="20" t="inlineStr">
        <is>
          <t>20cm</t>
        </is>
      </c>
      <c r="I22" s="20" t="inlineStr">
        <is>
          <t>φ95mm</t>
        </is>
      </c>
      <c r="J22" s="20" t="inlineStr">
        <is>
          <t>Wide classic prime with classic rendering characteristics</t>
        </is>
      </c>
      <c r="K22" s="20" t="inlineStr">
        <is>
          <t>https://www.sigma-global.com/en/cine-lenses/ff-classic-prime/20_25/</t>
        </is>
      </c>
    </row>
    <row r="23">
      <c r="A23" s="21" t="inlineStr">
        <is>
          <t>FF Classic Prime 24mm T2.5 FF</t>
        </is>
      </c>
      <c r="B23" s="21" t="inlineStr">
        <is>
          <t>FF Classic Prime Line</t>
        </is>
      </c>
      <c r="C23" s="21" t="inlineStr">
        <is>
          <t>24mm</t>
        </is>
      </c>
      <c r="D23" s="21" t="inlineStr">
        <is>
          <t>T2.5</t>
        </is>
      </c>
      <c r="E23" s="21" t="inlineStr">
        <is>
          <t>T22</t>
        </is>
      </c>
      <c r="F23" s="21" t="inlineStr">
        <is>
          <t>Prime</t>
        </is>
      </c>
      <c r="G23" s="21" t="inlineStr">
        <is>
          <t>Full-Frame</t>
        </is>
      </c>
      <c r="H23" s="21" t="inlineStr">
        <is>
          <t>24cm</t>
        </is>
      </c>
      <c r="I23" s="21" t="inlineStr">
        <is>
          <t>φ95mm</t>
        </is>
      </c>
      <c r="J23" s="21" t="inlineStr">
        <is>
          <t>Classic wide-angle prime for cinematic productions</t>
        </is>
      </c>
      <c r="K23" s="21" t="inlineStr">
        <is>
          <t>https://www.sigma-global.com/en/cine-lenses/ff-classic-prime/24_25/</t>
        </is>
      </c>
    </row>
    <row r="24">
      <c r="A24" s="20" t="inlineStr">
        <is>
          <t>FF Classic Prime 28mm T2.5 FF</t>
        </is>
      </c>
      <c r="B24" s="20" t="inlineStr">
        <is>
          <t>FF Classic Prime Line</t>
        </is>
      </c>
      <c r="C24" s="20" t="inlineStr">
        <is>
          <t>28mm</t>
        </is>
      </c>
      <c r="D24" s="20" t="inlineStr">
        <is>
          <t>T2.5</t>
        </is>
      </c>
      <c r="E24" s="20" t="inlineStr">
        <is>
          <t>T22</t>
        </is>
      </c>
      <c r="F24" s="20" t="inlineStr">
        <is>
          <t>Prime</t>
        </is>
      </c>
      <c r="G24" s="20" t="inlineStr">
        <is>
          <t>Full-Frame</t>
        </is>
      </c>
      <c r="H24" s="20" t="inlineStr">
        <is>
          <t>25cm</t>
        </is>
      </c>
      <c r="I24" s="20" t="inlineStr">
        <is>
          <t>φ95mm</t>
        </is>
      </c>
      <c r="J24" s="20" t="inlineStr">
        <is>
          <t>Normal-wide classic prime; versatile coverage</t>
        </is>
      </c>
      <c r="K24" s="20" t="inlineStr">
        <is>
          <t>https://www.sigma-global.com/en/cine-lenses/ff-classic-prime/28_25/</t>
        </is>
      </c>
    </row>
    <row r="25">
      <c r="A25" s="21" t="inlineStr">
        <is>
          <t>FF Classic Prime 35mm T2.5 FF</t>
        </is>
      </c>
      <c r="B25" s="21" t="inlineStr">
        <is>
          <t>FF Classic Prime Line</t>
        </is>
      </c>
      <c r="C25" s="21" t="inlineStr">
        <is>
          <t>35mm</t>
        </is>
      </c>
      <c r="D25" s="21" t="inlineStr">
        <is>
          <t>T2.5</t>
        </is>
      </c>
      <c r="E25" s="21" t="inlineStr">
        <is>
          <t>T22</t>
        </is>
      </c>
      <c r="F25" s="21" t="inlineStr">
        <is>
          <t>Prime</t>
        </is>
      </c>
      <c r="G25" s="21" t="inlineStr">
        <is>
          <t>Full-Frame</t>
        </is>
      </c>
      <c r="H25" s="21" t="inlineStr">
        <is>
          <t>30cm</t>
        </is>
      </c>
      <c r="I25" s="21" t="inlineStr">
        <is>
          <t>φ95mm</t>
        </is>
      </c>
      <c r="J25" s="21" t="inlineStr">
        <is>
          <t>Classic standard-wide cine prime</t>
        </is>
      </c>
      <c r="K25" s="21" t="inlineStr">
        <is>
          <t>https://www.sigma-global.com/en/cine-lenses/ff-classic-prime/35_25/</t>
        </is>
      </c>
    </row>
    <row r="26">
      <c r="A26" s="20" t="inlineStr">
        <is>
          <t>FF Classic Prime 40mm T2.5 FF</t>
        </is>
      </c>
      <c r="B26" s="20" t="inlineStr">
        <is>
          <t>FF Classic Prime Line</t>
        </is>
      </c>
      <c r="C26" s="20" t="inlineStr">
        <is>
          <t>40mm</t>
        </is>
      </c>
      <c r="D26" s="20" t="inlineStr">
        <is>
          <t>T2.5</t>
        </is>
      </c>
      <c r="E26" s="20" t="inlineStr">
        <is>
          <t>T22</t>
        </is>
      </c>
      <c r="F26" s="20" t="inlineStr">
        <is>
          <t>Prime</t>
        </is>
      </c>
      <c r="G26" s="20" t="inlineStr">
        <is>
          <t>Full-Frame</t>
        </is>
      </c>
      <c r="H26" s="20" t="inlineStr">
        <is>
          <t>35cm</t>
        </is>
      </c>
      <c r="I26" s="20" t="inlineStr">
        <is>
          <t>φ95mm</t>
        </is>
      </c>
      <c r="J26" s="20" t="inlineStr">
        <is>
          <t>Normal classic prime; versatile field of view</t>
        </is>
      </c>
      <c r="K26" s="20" t="inlineStr">
        <is>
          <t>https://www.sigma-global.com/en/cine-lenses/ff-classic-prime/40_25/</t>
        </is>
      </c>
    </row>
    <row r="27">
      <c r="A27" s="21" t="inlineStr">
        <is>
          <t>FF Classic Prime 50mm T2.5 FF</t>
        </is>
      </c>
      <c r="B27" s="21" t="inlineStr">
        <is>
          <t>FF Classic Prime Line</t>
        </is>
      </c>
      <c r="C27" s="21" t="inlineStr">
        <is>
          <t>50mm</t>
        </is>
      </c>
      <c r="D27" s="21" t="inlineStr">
        <is>
          <t>T2.5</t>
        </is>
      </c>
      <c r="E27" s="21" t="inlineStr">
        <is>
          <t>T22</t>
        </is>
      </c>
      <c r="F27" s="21" t="inlineStr">
        <is>
          <t>Prime</t>
        </is>
      </c>
      <c r="G27" s="21" t="inlineStr">
        <is>
          <t>Full-Frame</t>
        </is>
      </c>
      <c r="H27" s="21" t="inlineStr">
        <is>
          <t>40cm</t>
        </is>
      </c>
      <c r="I27" s="21" t="inlineStr">
        <is>
          <t>φ95mm</t>
        </is>
      </c>
      <c r="J27" s="21" t="inlineStr">
        <is>
          <t>Standard classic prime; natural perspective</t>
        </is>
      </c>
      <c r="K27" s="21" t="inlineStr">
        <is>
          <t>https://www.sigma-global.com/en/cine-lenses/ff-classic-prime/50_25/</t>
        </is>
      </c>
    </row>
    <row r="28">
      <c r="A28" s="20" t="inlineStr">
        <is>
          <t>FF Classic Prime 65mm T2.5 FF</t>
        </is>
      </c>
      <c r="B28" s="20" t="inlineStr">
        <is>
          <t>FF Classic Prime Line</t>
        </is>
      </c>
      <c r="C28" s="20" t="inlineStr">
        <is>
          <t>65mm</t>
        </is>
      </c>
      <c r="D28" s="20" t="inlineStr">
        <is>
          <t>T2.5</t>
        </is>
      </c>
      <c r="E28" s="20" t="inlineStr">
        <is>
          <t>T22</t>
        </is>
      </c>
      <c r="F28" s="20" t="inlineStr">
        <is>
          <t>Prime</t>
        </is>
      </c>
      <c r="G28" s="20" t="inlineStr">
        <is>
          <t>Full-Frame</t>
        </is>
      </c>
      <c r="H28" s="20" t="inlineStr">
        <is>
          <t>50cm</t>
        </is>
      </c>
      <c r="I28" s="20" t="inlineStr">
        <is>
          <t>φ95mm</t>
        </is>
      </c>
      <c r="J28" s="20" t="inlineStr">
        <is>
          <t>Portrait-length classic prime with warm rendering</t>
        </is>
      </c>
      <c r="K28" s="20" t="inlineStr">
        <is>
          <t>https://www.sigma-global.com/en/cine-lenses/ff-classic-prime/65_25/</t>
        </is>
      </c>
    </row>
    <row r="29">
      <c r="A29" s="21" t="inlineStr">
        <is>
          <t>FF Classic Prime 85mm T2.5 FF</t>
        </is>
      </c>
      <c r="B29" s="21" t="inlineStr">
        <is>
          <t>FF Classic Prime Line</t>
        </is>
      </c>
      <c r="C29" s="21" t="inlineStr">
        <is>
          <t>85mm</t>
        </is>
      </c>
      <c r="D29" s="21" t="inlineStr">
        <is>
          <t>T2.5</t>
        </is>
      </c>
      <c r="E29" s="21" t="inlineStr">
        <is>
          <t>T22</t>
        </is>
      </c>
      <c r="F29" s="21" t="inlineStr">
        <is>
          <t>Prime</t>
        </is>
      </c>
      <c r="G29" s="21" t="inlineStr">
        <is>
          <t>Full-Frame</t>
        </is>
      </c>
      <c r="H29" s="21" t="inlineStr">
        <is>
          <t>85cm</t>
        </is>
      </c>
      <c r="I29" s="21" t="inlineStr">
        <is>
          <t>φ95mm</t>
        </is>
      </c>
      <c r="J29" s="21" t="inlineStr">
        <is>
          <t>Portrait classic prime for cinematic close-ups</t>
        </is>
      </c>
      <c r="K29" s="21" t="inlineStr">
        <is>
          <t>https://www.sigma-global.com/en/cine-lenses/ff-classic-prime/85_25/</t>
        </is>
      </c>
    </row>
    <row r="30">
      <c r="A30" s="20" t="inlineStr">
        <is>
          <t>FF Classic Prime 105mm T2.5 FF</t>
        </is>
      </c>
      <c r="B30" s="20" t="inlineStr">
        <is>
          <t>FF Classic Prime Line</t>
        </is>
      </c>
      <c r="C30" s="20" t="inlineStr">
        <is>
          <t>105mm</t>
        </is>
      </c>
      <c r="D30" s="20" t="inlineStr">
        <is>
          <t>T2.5</t>
        </is>
      </c>
      <c r="E30" s="20" t="inlineStr">
        <is>
          <t>T22</t>
        </is>
      </c>
      <c r="F30" s="20" t="inlineStr">
        <is>
          <t>Prime</t>
        </is>
      </c>
      <c r="G30" s="20" t="inlineStr">
        <is>
          <t>Full-Frame</t>
        </is>
      </c>
      <c r="H30" s="20" t="inlineStr">
        <is>
          <t>100cm</t>
        </is>
      </c>
      <c r="I30" s="20" t="inlineStr">
        <is>
          <t>φ95mm</t>
        </is>
      </c>
      <c r="J30" s="20" t="inlineStr">
        <is>
          <t>Short telephoto classic prime for interviews and drama</t>
        </is>
      </c>
      <c r="K30" s="20" t="inlineStr">
        <is>
          <t>https://www.sigma-global.com/en/cine-lenses/ff-classic-prime/105_25/</t>
        </is>
      </c>
    </row>
    <row r="31">
      <c r="A31" s="21" t="inlineStr">
        <is>
          <t>FF Classic Prime 135mm T3.2 FF</t>
        </is>
      </c>
      <c r="B31" s="21" t="inlineStr">
        <is>
          <t>FF Classic Prime Line</t>
        </is>
      </c>
      <c r="C31" s="21" t="inlineStr">
        <is>
          <t>135mm</t>
        </is>
      </c>
      <c r="D31" s="21" t="inlineStr">
        <is>
          <t>T3.2</t>
        </is>
      </c>
      <c r="E31" s="21" t="inlineStr">
        <is>
          <t>T22</t>
        </is>
      </c>
      <c r="F31" s="21" t="inlineStr">
        <is>
          <t>Prime</t>
        </is>
      </c>
      <c r="G31" s="21" t="inlineStr">
        <is>
          <t>Full-Frame</t>
        </is>
      </c>
      <c r="H31" s="21" t="inlineStr">
        <is>
          <t>87.5cm</t>
        </is>
      </c>
      <c r="I31" s="21" t="inlineStr">
        <is>
          <t>φ95mm</t>
        </is>
      </c>
      <c r="J31" s="21" t="inlineStr">
        <is>
          <t>Long portrait classic prime; cinematic compression</t>
        </is>
      </c>
      <c r="K31" s="21" t="inlineStr">
        <is>
          <t>https://www.sigma-global.com/en/cine-lenses/ff-classic-prime/135_32/</t>
        </is>
      </c>
    </row>
    <row r="32">
      <c r="A32" s="20" t="inlineStr">
        <is>
          <t>AF Cine 28–45mm T2 FF</t>
        </is>
      </c>
      <c r="B32" s="20" t="inlineStr">
        <is>
          <t>AF CINE LINE</t>
        </is>
      </c>
      <c r="C32" s="20" t="inlineStr">
        <is>
          <t>28–45mm</t>
        </is>
      </c>
      <c r="D32" s="20" t="inlineStr">
        <is>
          <t>T2</t>
        </is>
      </c>
      <c r="E32" s="20" t="inlineStr">
        <is>
          <t>T16</t>
        </is>
      </c>
      <c r="F32" s="20" t="inlineStr">
        <is>
          <t>Zoom</t>
        </is>
      </c>
      <c r="G32" s="20" t="inlineStr">
        <is>
          <t>Full-Frame</t>
        </is>
      </c>
      <c r="H32" s="20" t="inlineStr">
        <is>
          <t>35cm</t>
        </is>
      </c>
      <c r="I32" s="20" t="inlineStr">
        <is>
          <t>φ90mm</t>
        </is>
      </c>
      <c r="J32" s="20" t="inlineStr">
        <is>
          <t>First autofocus cine zoom; covers wide to normal FF; internal zoom</t>
        </is>
      </c>
      <c r="K32" s="20" t="inlineStr">
        <is>
          <t>https://www.sigma-global.com/en/cine-lenses/af-cine/28_45_2/</t>
        </is>
      </c>
    </row>
    <row r="33">
      <c r="A33" s="21" t="inlineStr">
        <is>
          <t>AF Cine 28–105mm T3 FF</t>
        </is>
      </c>
      <c r="B33" s="21" t="inlineStr">
        <is>
          <t>AF CINE LINE</t>
        </is>
      </c>
      <c r="C33" s="21" t="inlineStr">
        <is>
          <t>28–105mm</t>
        </is>
      </c>
      <c r="D33" s="21" t="inlineStr">
        <is>
          <t>T3</t>
        </is>
      </c>
      <c r="E33" s="21" t="inlineStr">
        <is>
          <t>T22</t>
        </is>
      </c>
      <c r="F33" s="21" t="inlineStr">
        <is>
          <t>Zoom</t>
        </is>
      </c>
      <c r="G33" s="21" t="inlineStr">
        <is>
          <t>Full-Frame</t>
        </is>
      </c>
      <c r="H33" s="21" t="inlineStr">
        <is>
          <t>30cm</t>
        </is>
      </c>
      <c r="I33" s="21" t="inlineStr">
        <is>
          <t>φ90mm</t>
        </is>
      </c>
      <c r="J33" s="21" t="inlineStr">
        <is>
          <t>Wide-to-telephoto AF cine zoom; cinematic autofocus</t>
        </is>
      </c>
      <c r="K33" s="21" t="inlineStr">
        <is>
          <t>https://www.sigma-global.com/en/cine-lenses/af-cine/28_105_3/</t>
        </is>
      </c>
    </row>
    <row r="34">
      <c r="A34" s="20" t="inlineStr">
        <is>
          <t>FF Zoom 24–35mm T2.2 FF</t>
        </is>
      </c>
      <c r="B34" s="20" t="inlineStr">
        <is>
          <t>FF Zoom Line</t>
        </is>
      </c>
      <c r="C34" s="20" t="inlineStr">
        <is>
          <t>24–35mm</t>
        </is>
      </c>
      <c r="D34" s="20" t="inlineStr">
        <is>
          <t>T2.2</t>
        </is>
      </c>
      <c r="E34" s="20" t="inlineStr">
        <is>
          <t>T22</t>
        </is>
      </c>
      <c r="F34" s="20" t="inlineStr">
        <is>
          <t>Zoom</t>
        </is>
      </c>
      <c r="G34" s="20" t="inlineStr">
        <is>
          <t>Full-Frame</t>
        </is>
      </c>
      <c r="H34" s="20" t="inlineStr">
        <is>
          <t>24cm</t>
        </is>
      </c>
      <c r="I34" s="20" t="inlineStr">
        <is>
          <t>φ95mm</t>
        </is>
      </c>
      <c r="J34" s="20" t="inlineStr">
        <is>
          <t>Wide-angle cine zoom; covers 24–35mm; constant T2.2</t>
        </is>
      </c>
      <c r="K34" s="20" t="inlineStr">
        <is>
          <t>https://www.sigma-global.com/en/cine-lenses/ff-zoom/24_35_22/</t>
        </is>
      </c>
    </row>
    <row r="35">
      <c r="A35" s="21" t="inlineStr">
        <is>
          <t>High Speed Zoom 18–35mm T2</t>
        </is>
      </c>
      <c r="B35" s="21" t="inlineStr">
        <is>
          <t>High Speed Zoom Line</t>
        </is>
      </c>
      <c r="C35" s="21" t="inlineStr">
        <is>
          <t>18–35mm</t>
        </is>
      </c>
      <c r="D35" s="21" t="inlineStr">
        <is>
          <t>T2</t>
        </is>
      </c>
      <c r="E35" s="21" t="inlineStr">
        <is>
          <t>T16</t>
        </is>
      </c>
      <c r="F35" s="21" t="inlineStr">
        <is>
          <t>Zoom</t>
        </is>
      </c>
      <c r="G35" s="21" t="inlineStr">
        <is>
          <t>Super 35</t>
        </is>
      </c>
      <c r="H35" s="21" t="inlineStr">
        <is>
          <t>28cm</t>
        </is>
      </c>
      <c r="I35" s="21" t="inlineStr">
        <is>
          <t>φ95mm</t>
        </is>
      </c>
      <c r="J35" s="21" t="inlineStr">
        <is>
          <t>S35 wide-angle high-speed zoom; broadcast and indie film</t>
        </is>
      </c>
      <c r="K35" s="21" t="inlineStr">
        <is>
          <t>https://www.sigma-global.com/en/cine-lenses/high-speed-zoom/18_35_2/</t>
        </is>
      </c>
    </row>
    <row r="36">
      <c r="A36" s="20" t="inlineStr">
        <is>
          <t>High Speed Zoom 50–100mm T2</t>
        </is>
      </c>
      <c r="B36" s="20" t="inlineStr">
        <is>
          <t>High Speed Zoom Line</t>
        </is>
      </c>
      <c r="C36" s="20" t="inlineStr">
        <is>
          <t>50–100mm</t>
        </is>
      </c>
      <c r="D36" s="20" t="inlineStr">
        <is>
          <t>T2</t>
        </is>
      </c>
      <c r="E36" s="20" t="inlineStr">
        <is>
          <t>T16</t>
        </is>
      </c>
      <c r="F36" s="20" t="inlineStr">
        <is>
          <t>Zoom</t>
        </is>
      </c>
      <c r="G36" s="20" t="inlineStr">
        <is>
          <t>Super 35</t>
        </is>
      </c>
      <c r="H36" s="20" t="inlineStr">
        <is>
          <t>100cm</t>
        </is>
      </c>
      <c r="I36" s="20" t="inlineStr">
        <is>
          <t>φ95mm</t>
        </is>
      </c>
      <c r="J36" s="20" t="inlineStr">
        <is>
          <t>S35 telephoto high-speed zoom; pairs with 18–35mm T2</t>
        </is>
      </c>
      <c r="K36" s="20" t="inlineStr">
        <is>
          <t>https://www.sigma-global.com/en/cine-lenses/high-speed-zoom/50_100_2/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20" customWidth="1" min="5" max="5"/>
    <col width="22" customWidth="1" min="6" max="6"/>
    <col width="40" customWidth="1" min="7" max="7"/>
    <col width="24" customWidth="1" min="8" max="8"/>
    <col width="10" customWidth="1" min="9" max="9"/>
    <col width="75" customWidth="1" min="10" max="10"/>
    <col width="50" customWidth="1" min="11" max="11"/>
  </cols>
  <sheetData>
    <row r="1" ht="32" customHeight="1">
      <c r="A1" s="13" t="inlineStr">
        <is>
          <t>Product Name</t>
        </is>
      </c>
      <c r="B1" s="13" t="inlineStr">
        <is>
          <t>Sensor</t>
        </is>
      </c>
      <c r="C1" s="13" t="inlineStr">
        <is>
          <t>Resolution</t>
        </is>
      </c>
      <c r="D1" s="13" t="inlineStr">
        <is>
          <t>Sensor Size</t>
        </is>
      </c>
      <c r="E1" s="13" t="inlineStr">
        <is>
          <t>ISO Range</t>
        </is>
      </c>
      <c r="F1" s="13" t="inlineStr">
        <is>
          <t>Shutter Speed</t>
        </is>
      </c>
      <c r="G1" s="13" t="inlineStr">
        <is>
          <t>Video</t>
        </is>
      </c>
      <c r="H1" s="13" t="inlineStr">
        <is>
          <t>Dimensions</t>
        </is>
      </c>
      <c r="I1" s="13" t="inlineStr">
        <is>
          <t>Weight</t>
        </is>
      </c>
      <c r="J1" s="13" t="inlineStr">
        <is>
          <t>Special Features</t>
        </is>
      </c>
      <c r="K1" s="13" t="inlineStr">
        <is>
          <t>Product URL</t>
        </is>
      </c>
    </row>
    <row r="2">
      <c r="A2" s="22" t="inlineStr">
        <is>
          <t>Sigma BF</t>
        </is>
      </c>
      <c r="B2" s="22" t="inlineStr">
        <is>
          <t>Full-frame BSI-CMOS</t>
        </is>
      </c>
      <c r="C2" s="22" t="inlineStr">
        <is>
          <t>24.6 MP</t>
        </is>
      </c>
      <c r="D2" s="22" t="inlineStr">
        <is>
          <t>35.9×23.9mm</t>
        </is>
      </c>
      <c r="E2" s="22" t="inlineStr">
        <is>
          <t>100–25600 (expandable)</t>
        </is>
      </c>
      <c r="F2" s="22" t="inlineStr">
        <is>
          <t>30s – 1/8000s (electronic)</t>
        </is>
      </c>
      <c r="G2" s="22" t="inlineStr">
        <is>
          <t>6K RAW (CinemaDNG), 4K, Cinema DNG, Apple ProRes</t>
        </is>
      </c>
      <c r="H2" s="22" t="inlineStr">
        <is>
          <t>φ122.0×63.6×42.9mm</t>
        </is>
      </c>
      <c r="I2" s="22" t="inlineStr">
        <is>
          <t>427g</t>
        </is>
      </c>
      <c r="J2" s="22" t="inlineStr">
        <is>
          <t>World's most minimalist camera; touchscreen-primary interface; L-Mount; made in Aizu Japan; stripped-to-essentials design philosophy</t>
        </is>
      </c>
      <c r="K2" s="22" t="inlineStr">
        <is>
          <t>https://www.sigma-global.com/en/cameras/bf/</t>
        </is>
      </c>
    </row>
    <row r="3">
      <c r="A3" s="23" t="inlineStr">
        <is>
          <t>Sigma fp L</t>
        </is>
      </c>
      <c r="B3" s="23" t="inlineStr">
        <is>
          <t>Full-frame BSI-CMOS</t>
        </is>
      </c>
      <c r="C3" s="23" t="inlineStr">
        <is>
          <t>61 MP</t>
        </is>
      </c>
      <c r="D3" s="23" t="inlineStr">
        <is>
          <t>35.9×23.9mm</t>
        </is>
      </c>
      <c r="E3" s="23" t="inlineStr">
        <is>
          <t>100–25600 (expandable)</t>
        </is>
      </c>
      <c r="F3" s="23" t="inlineStr">
        <is>
          <t>30s – 1/2000s</t>
        </is>
      </c>
      <c r="G3" s="23" t="inlineStr">
        <is>
          <t>12-bit Cinema DNG RAW (4.2K), 4K UHD, ProRes RAW</t>
        </is>
      </c>
      <c r="H3" s="23" t="inlineStr">
        <is>
          <t>112.6×69.9×45.3mm</t>
        </is>
      </c>
      <c r="I3" s="23" t="inlineStr">
        <is>
          <t>557g</t>
        </is>
      </c>
      <c r="J3" s="23" t="inlineStr">
        <is>
          <t>World's smallest 61MP full-frame camera; L-Mount; 4K 120fps burst; external RAW; USB-C; multiple accessories (EVF, VF, Grip)</t>
        </is>
      </c>
      <c r="K3" s="23" t="inlineStr">
        <is>
          <t>https://www.sigma-global.com/en/cameras/fpl/</t>
        </is>
      </c>
    </row>
    <row r="4">
      <c r="A4" s="22" t="inlineStr">
        <is>
          <t>Sigma fp</t>
        </is>
      </c>
      <c r="B4" s="22" t="inlineStr">
        <is>
          <t>Full-frame BSI-CMOS</t>
        </is>
      </c>
      <c r="C4" s="22" t="inlineStr">
        <is>
          <t>24.6 MP</t>
        </is>
      </c>
      <c r="D4" s="22" t="inlineStr">
        <is>
          <t>35.9×23.9mm</t>
        </is>
      </c>
      <c r="E4" s="22" t="inlineStr">
        <is>
          <t>100–25600 (expandable)</t>
        </is>
      </c>
      <c r="F4" s="22" t="inlineStr">
        <is>
          <t>30s – 1/2000s</t>
        </is>
      </c>
      <c r="G4" s="22" t="inlineStr">
        <is>
          <t>12-bit Cinema DNG RAW (4K), 1080p 120fps</t>
        </is>
      </c>
      <c r="H4" s="22" t="inlineStr">
        <is>
          <t>112.6×69.9×45.3mm</t>
        </is>
      </c>
      <c r="I4" s="22" t="inlineStr">
        <is>
          <t>422g</t>
        </is>
      </c>
      <c r="J4" s="22" t="inlineStr">
        <is>
          <t>World's smallest and lightest pocketable full-frame camera; L-Mount; Cinema DNG RAW; modular system; made in Aizu Japan</t>
        </is>
      </c>
      <c r="K4" s="22" t="inlineStr">
        <is>
          <t>https://www.sigma-global.com/en/cameras/fp/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80" customWidth="1" min="4" max="4"/>
    <col width="55" customWidth="1" min="5" max="5"/>
  </cols>
  <sheetData>
    <row r="1" ht="32" customHeight="1">
      <c r="A1" s="13" t="inlineStr">
        <is>
          <t>Product Name</t>
        </is>
      </c>
      <c r="B1" s="13" t="inlineStr">
        <is>
          <t>Category</t>
        </is>
      </c>
      <c r="C1" s="13" t="inlineStr">
        <is>
          <t>Compatibility</t>
        </is>
      </c>
      <c r="D1" s="13" t="inlineStr">
        <is>
          <t>Key Features</t>
        </is>
      </c>
      <c r="E1" s="13" t="inlineStr">
        <is>
          <t>Product URL</t>
        </is>
      </c>
    </row>
    <row r="2">
      <c r="A2" s="24" t="inlineStr">
        <is>
          <t>USB DOCK UD-11</t>
        </is>
      </c>
      <c r="B2" s="24" t="inlineStr">
        <is>
          <t>USB Dock</t>
        </is>
      </c>
      <c r="C2" s="24" t="inlineStr">
        <is>
          <t>L-Mount &amp; Canon EF-M Sigma lenses</t>
        </is>
      </c>
      <c r="D2" s="24" t="inlineStr">
        <is>
          <t>Firmware update and customization for mirrorless Sigma lenses; MF sensitivity adjustment; USB Type-C connector; works with Sigma Optimization Pro software</t>
        </is>
      </c>
      <c r="E2" s="24" t="inlineStr">
        <is>
          <t>https://www.sigma-global.com/en/accessories/usb-dock-ud11/</t>
        </is>
      </c>
    </row>
    <row r="3">
      <c r="A3" s="25" t="inlineStr">
        <is>
          <t>USB DOCK UD-01</t>
        </is>
      </c>
      <c r="B3" s="25" t="inlineStr">
        <is>
          <t>USB Dock</t>
        </is>
      </c>
      <c r="C3" s="25" t="inlineStr">
        <is>
          <t>DSLR Sigma lenses (SA/EF/Nikon)</t>
        </is>
      </c>
      <c r="D3" s="25" t="inlineStr">
        <is>
          <t>Firmware update and customization for DSLR Sigma lenses; AF speed, OS mode, MF settings adjustable; USB Type-A; Sigma Optimization Pro compatible</t>
        </is>
      </c>
      <c r="E3" s="25" t="inlineStr">
        <is>
          <t>https://www.sigma-global.com/en/accessories/usb-dock-ud01/</t>
        </is>
      </c>
    </row>
    <row r="4">
      <c r="A4" s="24" t="inlineStr">
        <is>
          <t>TELE CONVERTER TC-1401 / TC-2001</t>
        </is>
      </c>
      <c r="B4" s="24" t="inlineStr">
        <is>
          <t>Tele Converter</t>
        </is>
      </c>
      <c r="C4" s="24" t="inlineStr">
        <is>
          <t>Selected Sigma DSLR lenses</t>
        </is>
      </c>
      <c r="D4" s="24" t="inlineStr">
        <is>
          <t>1.4x and 2.0x magnification; maintains full AF; designed for Sports and Art line telephoto lenses; metal mount</t>
        </is>
      </c>
      <c r="E4" s="24" t="inlineStr">
        <is>
          <t>https://www.sigma-global.com/en/accessories/tc1401tc2001/</t>
        </is>
      </c>
    </row>
    <row r="5">
      <c r="A5" s="25" t="inlineStr">
        <is>
          <t>TELE CONVERTER TC-1411 / TC-2011</t>
        </is>
      </c>
      <c r="B5" s="25" t="inlineStr">
        <is>
          <t>Tele Converter</t>
        </is>
      </c>
      <c r="C5" s="25" t="inlineStr">
        <is>
          <t>Selected Sigma mirrorless lenses (L/E)</t>
        </is>
      </c>
      <c r="D5" s="25" t="inlineStr">
        <is>
          <t>1.4x and 2.0x magnification for mirrorless system; maintains full AF and IS; compatible with DN Sports and Art telephoto lenses</t>
        </is>
      </c>
      <c r="E5" s="25" t="inlineStr">
        <is>
          <t>https://www.sigma-global.com/en/accessories/tc-1411-2011/</t>
        </is>
      </c>
    </row>
    <row r="6">
      <c r="A6" s="24" t="inlineStr">
        <is>
          <t>WR CIRCULAR PL FILTER</t>
        </is>
      </c>
      <c r="B6" s="24" t="inlineStr">
        <is>
          <t>Filter</t>
        </is>
      </c>
      <c r="C6" s="24" t="inlineStr">
        <is>
          <t>All Sigma lenses (various sizes)</t>
        </is>
      </c>
      <c r="D6" s="24" t="inlineStr">
        <is>
          <t>Weather-resistant circular polarizer; reduces reflections and glare; increases color saturation; Super Multi-Layer Coating; durable acrylic storage case</t>
        </is>
      </c>
      <c r="E6" s="24" t="inlineStr">
        <is>
          <t>https://www.sigma-global.com/en/accessories/sigma-wr-circular-pl-filter/</t>
        </is>
      </c>
    </row>
    <row r="7">
      <c r="A7" s="25" t="inlineStr">
        <is>
          <t>WR UV FILTER</t>
        </is>
      </c>
      <c r="B7" s="25" t="inlineStr">
        <is>
          <t>Filter</t>
        </is>
      </c>
      <c r="C7" s="25" t="inlineStr">
        <is>
          <t>All Sigma lenses (various sizes)</t>
        </is>
      </c>
      <c r="D7" s="25" t="inlineStr">
        <is>
          <t>Weather-resistant UV filter; protects front element; reduces UV haze; Super Multi-Layer Coating; black-rimmed glass eliminates internal reflections</t>
        </is>
      </c>
      <c r="E7" s="25" t="inlineStr">
        <is>
          <t>https://www.sigma-global.com/en/accessories/sigma-wr-uv-filter/</t>
        </is>
      </c>
    </row>
    <row r="8">
      <c r="A8" s="24" t="inlineStr">
        <is>
          <t>PROTECTOR</t>
        </is>
      </c>
      <c r="B8" s="24" t="inlineStr">
        <is>
          <t>Filter</t>
        </is>
      </c>
      <c r="C8" s="24" t="inlineStr">
        <is>
          <t>All Sigma lenses (various sizes)</t>
        </is>
      </c>
      <c r="D8" s="24" t="inlineStr">
        <is>
          <t>Colorless protective lens filter; Super Multi-Layer Coating; reduces flare and ghosting; fully Japan-made; black-rimmed glass construction</t>
        </is>
      </c>
      <c r="E8" s="24" t="inlineStr">
        <is>
          <t>https://www.sigma-global.com/en/accessories/sigma-protector/</t>
        </is>
      </c>
    </row>
    <row r="9">
      <c r="A9" s="25" t="inlineStr">
        <is>
          <t>WR PROTECTOR</t>
        </is>
      </c>
      <c r="B9" s="25" t="inlineStr">
        <is>
          <t>Filter</t>
        </is>
      </c>
      <c r="C9" s="25" t="inlineStr">
        <is>
          <t>All Sigma lenses (various sizes)</t>
        </is>
      </c>
      <c r="D9" s="25" t="inlineStr">
        <is>
          <t>Weather-resistant protective filter; Super Multi-Layer Coating; water and oil repellent coating; durable acrylic storage case</t>
        </is>
      </c>
      <c r="E9" s="25" t="inlineStr">
        <is>
          <t>https://www.sigma-global.com/en/accessories/sigma-wr-protector/</t>
        </is>
      </c>
    </row>
    <row r="10">
      <c r="A10" s="24" t="inlineStr">
        <is>
          <t>WR CERAMIC PROTECTOR</t>
        </is>
      </c>
      <c r="B10" s="24" t="inlineStr">
        <is>
          <t>Filter</t>
        </is>
      </c>
      <c r="C10" s="24" t="inlineStr">
        <is>
          <t>All Sigma lenses (various sizes)</t>
        </is>
      </c>
      <c r="D10" s="24" t="inlineStr">
        <is>
          <t>Ultra-strong ceramic glass (Clear Glass Ceramics by Ohara Inc.); Vickers hardness 700HV; weather-resistant; scratch and shatter resistant; highest protection level</t>
        </is>
      </c>
      <c r="E10" s="24" t="inlineStr">
        <is>
          <t>https://www.sigma-global.com/en/accessories/wr-ceramic-protector/</t>
        </is>
      </c>
    </row>
    <row r="11">
      <c r="A11" s="25" t="inlineStr">
        <is>
          <t>MOUNT CONVERTER MC-31</t>
        </is>
      </c>
      <c r="B11" s="25" t="inlineStr">
        <is>
          <t>Mount Converter</t>
        </is>
      </c>
      <c r="C11" s="25" t="inlineStr">
        <is>
          <t>Sigma / Leica L-Mount lenses → Nikon Z</t>
        </is>
      </c>
      <c r="D11" s="25" t="inlineStr">
        <is>
          <t>Converts L-Mount lenses to Nikon Z cameras; maintains full electronic communication; AF support; firmware updatable</t>
        </is>
      </c>
      <c r="E11" s="25" t="inlineStr">
        <is>
          <t>https://www.sigma-global.com/en/accessories/mc-31/</t>
        </is>
      </c>
    </row>
    <row r="12">
      <c r="A12" s="24" t="inlineStr">
        <is>
          <t>MOUNT CONVERTER MC-21</t>
        </is>
      </c>
      <c r="B12" s="24" t="inlineStr">
        <is>
          <t>Mount Converter</t>
        </is>
      </c>
      <c r="C12" s="24" t="inlineStr">
        <is>
          <t>SA/Canon EF lenses → L-Mount bodies</t>
        </is>
      </c>
      <c r="D12" s="24" t="inlineStr">
        <is>
          <t>Converts SA-mount and Canon EF lenses to L-Mount cameras; maintains AF, AE, OS functions; firmware updatable via UD-11</t>
        </is>
      </c>
      <c r="E12" s="24" t="inlineStr">
        <is>
          <t>https://www.sigma-global.com/en/accessories/mc-21/</t>
        </is>
      </c>
    </row>
    <row r="13">
      <c r="A13" s="25" t="inlineStr">
        <is>
          <t>MOUNT CONVERTER MC-11</t>
        </is>
      </c>
      <c r="B13" s="25" t="inlineStr">
        <is>
          <t>Mount Converter</t>
        </is>
      </c>
      <c r="C13" s="25" t="inlineStr">
        <is>
          <t>SA-Mount / Canon EF lenses → Sony E</t>
        </is>
      </c>
      <c r="D13" s="25" t="inlineStr">
        <is>
          <t>Converts SA-mount and Canon EF lenses to Sony E-mount; Fast Hybrid AF support; full electronic control; LED compatibility indicator; firmware updatable</t>
        </is>
      </c>
      <c r="E13" s="25" t="inlineStr">
        <is>
          <t>https://www.sigma-global.com/en/accessories/mc-11/</t>
        </is>
      </c>
    </row>
    <row r="14">
      <c r="A14" s="24" t="inlineStr">
        <is>
          <t>FLASH USB DOCK FD-11</t>
        </is>
      </c>
      <c r="B14" s="24" t="inlineStr">
        <is>
          <t>USB Dock</t>
        </is>
      </c>
      <c r="C14" s="24" t="inlineStr">
        <is>
          <t>Sigma EF-630 flash</t>
        </is>
      </c>
      <c r="D14" s="24" t="inlineStr">
        <is>
          <t>Firmware updater for the EF-630 flash; connects via USB to PC with Sigma Optimization Pro</t>
        </is>
      </c>
      <c r="E14" s="24" t="inlineStr">
        <is>
          <t>https://www.sigma-global.com/en/accessories/flash-usb-dock-fd-11/</t>
        </is>
      </c>
    </row>
    <row r="15">
      <c r="A15" s="25" t="inlineStr">
        <is>
          <t>ELECTRONIC VIEWFINDER EVF-11</t>
        </is>
      </c>
      <c r="B15" s="25" t="inlineStr">
        <is>
          <t>Viewfinder</t>
        </is>
      </c>
      <c r="C15" s="25" t="inlineStr">
        <is>
          <t>Sigma fp / fp L</t>
        </is>
      </c>
      <c r="D15" s="25" t="inlineStr">
        <is>
          <t>0.5-inch OLED; 3.68M-dot resolution; 0.83× magnification; tilts 90° upward; 21mm eye point; −4.0 to +3.0 diopter; 3.5mm audio monitor jack; hot shoe expandable</t>
        </is>
      </c>
      <c r="E15" s="25" t="inlineStr">
        <is>
          <t>https://www.sigma-global.com/en/accessories/evf-11/</t>
        </is>
      </c>
    </row>
    <row r="16">
      <c r="A16" s="24" t="inlineStr">
        <is>
          <t>ELECTRONIC FLASH EF-630</t>
        </is>
      </c>
      <c r="B16" s="24" t="inlineStr">
        <is>
          <t>Flash</t>
        </is>
      </c>
      <c r="C16" s="24" t="inlineStr">
        <is>
          <t>Canon / Nikon / Sigma / Sony cameras</t>
        </is>
      </c>
      <c r="D16" s="24" t="inlineStr">
        <is>
          <t>Guide number 63 (ISO 100, 200mm); TTL auto exposure; high-speed sync; rear-curtain sync; wireless flash; auto zoom 24–200mm; bounce + wide panel; dot-matrix LCD; D-Pad UI; modeling flash; custom mode</t>
        </is>
      </c>
      <c r="E16" s="24" t="inlineStr">
        <is>
          <t>https://www.sigma-global.com/en/accessories/ef-630/</t>
        </is>
      </c>
    </row>
    <row r="17">
      <c r="A17" s="25" t="inlineStr">
        <is>
          <t>ELECTRONIC FLASH MACRO EM-140 DG</t>
        </is>
      </c>
      <c r="B17" s="25" t="inlineStr">
        <is>
          <t>Flash</t>
        </is>
      </c>
      <c r="C17" s="25" t="inlineStr">
        <is>
          <t>Canon / Nikon macro photography</t>
        </is>
      </c>
      <c r="D17" s="25" t="inlineStr">
        <is>
          <t>Macro ring flash; TTL and manual modes; high-speed sync; wireless slave support; exposure compensation; ideal for close-up and macro photography</t>
        </is>
      </c>
      <c r="E17" s="25" t="inlineStr">
        <is>
          <t>https://www.sigma-global.com/en/accessories/electronic-flash-macro-em-140-dg/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2026-04-28T07:24:40Z</dcterms:created>
  <dcterms:modified xmlns:dcterms="http://purl.org/dc/terms/" xmlns:xsi="http://www.w3.org/2001/XMLSchema-instance" xsi:type="dcterms:W3CDTF">2026-04-28T07:24:40Z</dcterms:modified>
</cp:coreProperties>
</file>